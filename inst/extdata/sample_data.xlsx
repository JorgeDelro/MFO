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/Documents/Paquetes_R/MFO/inst/extdata/"/>
    </mc:Choice>
  </mc:AlternateContent>
  <xr:revisionPtr revIDLastSave="0" documentId="8_{59DB7FE0-C02E-5440-B7F3-7F58626632A8}" xr6:coauthVersionLast="46" xr6:coauthVersionMax="46" xr10:uidLastSave="{00000000-0000-0000-0000-000000000000}"/>
  <bookViews>
    <workbookView xWindow="980" yWindow="780" windowWidth="27640" windowHeight="15680" activeTab="2" xr2:uid="{CC53FE56-A88B-FE41-9EF6-95DF87C037D9}"/>
  </bookViews>
  <sheets>
    <sheet name="MFO" sheetId="1" r:id="rId1"/>
    <sheet name="V02máx." sheetId="2" r:id="rId2"/>
    <sheet name="M.BASAL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0" i="3" l="1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<sst xmlns="http://schemas.openxmlformats.org/spreadsheetml/2006/main" count="76" uniqueCount="42">
  <si>
    <t>Time</t>
  </si>
  <si>
    <t>HR</t>
  </si>
  <si>
    <t>Load</t>
  </si>
  <si>
    <t>V'O2</t>
  </si>
  <si>
    <t>V'CO2</t>
  </si>
  <si>
    <t>RER</t>
  </si>
  <si>
    <t>VO2/kg</t>
  </si>
  <si>
    <t>BF</t>
  </si>
  <si>
    <t>V'E</t>
  </si>
  <si>
    <t>PETCO2</t>
  </si>
  <si>
    <t xml:space="preserve">24:20 </t>
  </si>
  <si>
    <t>0.75</t>
  </si>
  <si>
    <t>3.7</t>
  </si>
  <si>
    <t>31.67</t>
  </si>
  <si>
    <t>0.73</t>
  </si>
  <si>
    <t>3.3</t>
  </si>
  <si>
    <t>32.09</t>
  </si>
  <si>
    <t>0.74</t>
  </si>
  <si>
    <t>32.98</t>
  </si>
  <si>
    <t>0.71</t>
  </si>
  <si>
    <t>32.14</t>
  </si>
  <si>
    <t>3.5</t>
  </si>
  <si>
    <t>0.76</t>
  </si>
  <si>
    <t>34.77</t>
  </si>
  <si>
    <t>0.81</t>
  </si>
  <si>
    <t>34.03</t>
  </si>
  <si>
    <t>0.79</t>
  </si>
  <si>
    <t>3.6</t>
  </si>
  <si>
    <t>33.34</t>
  </si>
  <si>
    <t>0.82</t>
  </si>
  <si>
    <t>3.4</t>
  </si>
  <si>
    <t>34.27</t>
  </si>
  <si>
    <t>3.0</t>
  </si>
  <si>
    <t>34.95</t>
  </si>
  <si>
    <t>0.77</t>
  </si>
  <si>
    <t>35.62</t>
  </si>
  <si>
    <t>0.78</t>
  </si>
  <si>
    <t>35.24</t>
  </si>
  <si>
    <t>35.77</t>
  </si>
  <si>
    <t>0.86</t>
  </si>
  <si>
    <t>35.66</t>
  </si>
  <si>
    <t>33.49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</si>
</sst>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0" fontId="1" fillId="0" borderId="0" xfId="0" applyNumberFormat="1" applyFont="1" applyFill="1"/>
    <xf numFmtId="0" fontId="1" fillId="0" borderId="0" xfId="0" applyFont="1" applyFill="1"/>
    <xf numFmtId="2" fontId="2" fillId="0" borderId="0" xfId="0" applyNumberFormat="1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20" fontId="1" fillId="0" borderId="0" xfId="0" applyNumberFormat="1" applyFont="1" applyFill="1" applyAlignment="1">
      <alignment vertical="top" wrapText="1"/>
    </xf>
    <xf numFmtId="2" fontId="1" fillId="0" borderId="0" xfId="0" applyNumberFormat="1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164" fontId="1" fillId="0" borderId="0" xfId="0" applyNumberFormat="1" applyFont="1" applyFill="1" applyAlignment="1">
      <alignment vertical="top" wrapText="1"/>
    </xf>
    <xf numFmtId="20" fontId="3" fillId="0" borderId="0" xfId="0" applyNumberFormat="1" applyFont="1" applyFill="1" applyAlignment="1">
      <alignment vertical="top" wrapText="1"/>
    </xf>
    <xf numFmtId="20" fontId="4" fillId="0" borderId="0" xfId="0" applyNumberFormat="1" applyFont="1" applyFill="1"/>
    <xf numFmtId="49" fontId="1" fillId="0" borderId="0" xfId="0" applyNumberFormat="1" applyFont="1" applyFill="1"/>
    <xf numFmtId="46" fontId="1" fillId="0" borderId="0" xfId="0" applyNumberFormat="1" applyFont="1" applyFill="1"/>
    <xf numFmtId="2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rge/Documents/Paquetes_R/MFO/NUTAF_xls/NUTAF_2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02máx."/>
      <sheetName val="M.BASAL"/>
      <sheetName val="MFO_FRAYN"/>
      <sheetName val="MFO_Jeukendrup-ecuación"/>
      <sheetName val="%VO2MAX_MFO-GRÁFICA_frayn (2)"/>
      <sheetName val="%VO2MAX_MFO-GRÁFICA_frayn"/>
      <sheetName val="%HR_MFO-GRÁFICA_FRAYN"/>
      <sheetName val="%VO2MAX_MFO-GRÁFICA_JEUKENDRUP"/>
      <sheetName val="%HR_MFO-GRÁFICA_JEUKENDRUP"/>
      <sheetName val="HR MET BASAL"/>
      <sheetName val="HR MFO"/>
      <sheetName val="HR VO2Max"/>
      <sheetName val="COPIAR BD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E4">
            <v>60.7</v>
          </cell>
        </row>
        <row r="5">
          <cell r="E5">
            <v>59.75</v>
          </cell>
        </row>
        <row r="6">
          <cell r="E6">
            <v>58.5</v>
          </cell>
        </row>
        <row r="7">
          <cell r="E7">
            <v>59.6</v>
          </cell>
        </row>
        <row r="8">
          <cell r="E8">
            <v>60.05</v>
          </cell>
        </row>
        <row r="9">
          <cell r="E9">
            <v>59.05</v>
          </cell>
        </row>
        <row r="10">
          <cell r="E10">
            <v>59.35</v>
          </cell>
        </row>
        <row r="11">
          <cell r="E11">
            <v>61.15</v>
          </cell>
        </row>
        <row r="12">
          <cell r="E12">
            <v>62</v>
          </cell>
        </row>
        <row r="13">
          <cell r="E13">
            <v>62.1</v>
          </cell>
        </row>
        <row r="14">
          <cell r="E14">
            <v>63.9</v>
          </cell>
        </row>
        <row r="15">
          <cell r="E15">
            <v>62.55</v>
          </cell>
        </row>
        <row r="16">
          <cell r="E16">
            <v>60.6</v>
          </cell>
        </row>
        <row r="17">
          <cell r="E17">
            <v>61</v>
          </cell>
        </row>
        <row r="18">
          <cell r="E18">
            <v>60.95</v>
          </cell>
        </row>
        <row r="19">
          <cell r="E19">
            <v>61.95</v>
          </cell>
        </row>
        <row r="20">
          <cell r="E20">
            <v>61.75</v>
          </cell>
        </row>
        <row r="21">
          <cell r="E21">
            <v>60.75</v>
          </cell>
        </row>
        <row r="22">
          <cell r="E22">
            <v>60.85</v>
          </cell>
        </row>
        <row r="23">
          <cell r="E23">
            <v>61.1</v>
          </cell>
        </row>
        <row r="24">
          <cell r="E24">
            <v>63.35</v>
          </cell>
        </row>
        <row r="25">
          <cell r="E25">
            <v>64.5</v>
          </cell>
        </row>
        <row r="26">
          <cell r="E26">
            <v>64.25</v>
          </cell>
        </row>
        <row r="27">
          <cell r="E27">
            <v>62.3</v>
          </cell>
        </row>
        <row r="28">
          <cell r="E28">
            <v>62</v>
          </cell>
        </row>
        <row r="29">
          <cell r="E29">
            <v>61.8</v>
          </cell>
        </row>
        <row r="30">
          <cell r="E30">
            <v>62.9</v>
          </cell>
        </row>
        <row r="31">
          <cell r="E31">
            <v>62</v>
          </cell>
        </row>
        <row r="32">
          <cell r="E32">
            <v>60.75</v>
          </cell>
        </row>
        <row r="33">
          <cell r="E33">
            <v>60.9</v>
          </cell>
        </row>
        <row r="34">
          <cell r="E34">
            <v>62.15</v>
          </cell>
        </row>
        <row r="35">
          <cell r="E35">
            <v>62.35</v>
          </cell>
        </row>
        <row r="36">
          <cell r="E36">
            <v>63.85</v>
          </cell>
        </row>
        <row r="37">
          <cell r="E37">
            <v>65.400000000000006</v>
          </cell>
        </row>
        <row r="38">
          <cell r="E38">
            <v>63.4</v>
          </cell>
        </row>
        <row r="39">
          <cell r="E39">
            <v>64.599999999999994</v>
          </cell>
        </row>
        <row r="40">
          <cell r="E40">
            <v>64.25</v>
          </cell>
        </row>
        <row r="41">
          <cell r="E41">
            <v>65.599999999999994</v>
          </cell>
        </row>
        <row r="42">
          <cell r="E42">
            <v>69.25</v>
          </cell>
        </row>
        <row r="43">
          <cell r="E43">
            <v>66.8</v>
          </cell>
        </row>
        <row r="44">
          <cell r="E44">
            <v>64.099999999999994</v>
          </cell>
        </row>
        <row r="45">
          <cell r="E45">
            <v>64.150000000000006</v>
          </cell>
        </row>
        <row r="46">
          <cell r="E46">
            <v>63.3</v>
          </cell>
        </row>
        <row r="47">
          <cell r="E47">
            <v>62.8</v>
          </cell>
        </row>
        <row r="48">
          <cell r="E48">
            <v>63.45</v>
          </cell>
        </row>
        <row r="49">
          <cell r="E49">
            <v>64.75</v>
          </cell>
        </row>
        <row r="50">
          <cell r="E50">
            <v>64.099999999999994</v>
          </cell>
        </row>
        <row r="51">
          <cell r="E51">
            <v>63.15</v>
          </cell>
        </row>
        <row r="52">
          <cell r="E52">
            <v>62</v>
          </cell>
        </row>
        <row r="53">
          <cell r="E53">
            <v>62.45</v>
          </cell>
        </row>
        <row r="54">
          <cell r="E54">
            <v>63.7</v>
          </cell>
        </row>
        <row r="55">
          <cell r="E55">
            <v>64.349999999999994</v>
          </cell>
        </row>
        <row r="56">
          <cell r="E56">
            <v>64.400000000000006</v>
          </cell>
        </row>
        <row r="57">
          <cell r="E57">
            <v>65.7</v>
          </cell>
        </row>
        <row r="58">
          <cell r="E58">
            <v>64</v>
          </cell>
        </row>
        <row r="59">
          <cell r="E59">
            <v>62.05</v>
          </cell>
        </row>
        <row r="60">
          <cell r="E60">
            <v>62.45</v>
          </cell>
        </row>
        <row r="61">
          <cell r="E61">
            <v>61.1</v>
          </cell>
        </row>
        <row r="62">
          <cell r="E62">
            <v>62.45</v>
          </cell>
        </row>
        <row r="63">
          <cell r="E63">
            <v>65.849999999999994</v>
          </cell>
        </row>
        <row r="64">
          <cell r="E64">
            <v>66.650000000000006</v>
          </cell>
        </row>
        <row r="65">
          <cell r="E65">
            <v>64.8</v>
          </cell>
        </row>
        <row r="66">
          <cell r="E66">
            <v>63.2</v>
          </cell>
        </row>
        <row r="67">
          <cell r="E67">
            <v>62.5</v>
          </cell>
        </row>
        <row r="68">
          <cell r="E68">
            <v>62.55</v>
          </cell>
        </row>
        <row r="69">
          <cell r="E69">
            <v>64.45</v>
          </cell>
        </row>
        <row r="70">
          <cell r="E70">
            <v>62.35</v>
          </cell>
        </row>
        <row r="71">
          <cell r="E71">
            <v>63</v>
          </cell>
        </row>
        <row r="72">
          <cell r="E72">
            <v>61.3</v>
          </cell>
        </row>
        <row r="73">
          <cell r="E73">
            <v>61.25</v>
          </cell>
        </row>
        <row r="74">
          <cell r="E74">
            <v>61.3</v>
          </cell>
        </row>
        <row r="75">
          <cell r="E75">
            <v>60.8</v>
          </cell>
        </row>
        <row r="76">
          <cell r="E76">
            <v>61.45</v>
          </cell>
        </row>
        <row r="77">
          <cell r="E77">
            <v>61.4</v>
          </cell>
        </row>
        <row r="78">
          <cell r="E78">
            <v>60.65</v>
          </cell>
        </row>
        <row r="79">
          <cell r="E79">
            <v>62.2</v>
          </cell>
        </row>
        <row r="80">
          <cell r="E80">
            <v>62.9</v>
          </cell>
        </row>
        <row r="81">
          <cell r="E81">
            <v>62.65</v>
          </cell>
        </row>
        <row r="82">
          <cell r="E82">
            <v>61.65</v>
          </cell>
        </row>
        <row r="83">
          <cell r="E83">
            <v>67.05</v>
          </cell>
        </row>
        <row r="84">
          <cell r="E84">
            <v>68.900000000000006</v>
          </cell>
        </row>
        <row r="85">
          <cell r="E85">
            <v>63.5</v>
          </cell>
        </row>
        <row r="86">
          <cell r="E86">
            <v>63.2</v>
          </cell>
        </row>
        <row r="87">
          <cell r="E87">
            <v>62.9</v>
          </cell>
        </row>
        <row r="88">
          <cell r="E88">
            <v>65.150000000000006</v>
          </cell>
        </row>
        <row r="89">
          <cell r="E89">
            <v>60.85</v>
          </cell>
        </row>
        <row r="90">
          <cell r="E90">
            <v>60</v>
          </cell>
        </row>
        <row r="91">
          <cell r="E91" t="e">
            <v>#DIV/0!</v>
          </cell>
        </row>
        <row r="92">
          <cell r="E92" t="e">
            <v>#DIV/0!</v>
          </cell>
        </row>
      </sheetData>
      <sheetData sheetId="10" refreshError="1">
        <row r="4">
          <cell r="E4">
            <v>83.1</v>
          </cell>
        </row>
        <row r="5">
          <cell r="E5">
            <v>85.9</v>
          </cell>
        </row>
        <row r="6">
          <cell r="E6">
            <v>84.9</v>
          </cell>
        </row>
        <row r="7">
          <cell r="E7">
            <v>87</v>
          </cell>
        </row>
        <row r="8">
          <cell r="E8">
            <v>84.3</v>
          </cell>
        </row>
        <row r="9">
          <cell r="E9">
            <v>84.85</v>
          </cell>
        </row>
        <row r="10">
          <cell r="E10">
            <v>83.25</v>
          </cell>
        </row>
        <row r="11">
          <cell r="E11">
            <v>82.45</v>
          </cell>
        </row>
        <row r="12">
          <cell r="E12">
            <v>84.1</v>
          </cell>
        </row>
        <row r="13">
          <cell r="E13">
            <v>82.5</v>
          </cell>
        </row>
        <row r="14">
          <cell r="E14">
            <v>84.25</v>
          </cell>
        </row>
        <row r="15">
          <cell r="E15">
            <v>86.25</v>
          </cell>
        </row>
        <row r="16">
          <cell r="E16">
            <v>87.65</v>
          </cell>
        </row>
        <row r="17">
          <cell r="E17">
            <v>86.1</v>
          </cell>
        </row>
        <row r="18">
          <cell r="E18">
            <v>85.25</v>
          </cell>
        </row>
        <row r="19">
          <cell r="E19">
            <v>86.45</v>
          </cell>
        </row>
        <row r="20">
          <cell r="E20">
            <v>85.65</v>
          </cell>
        </row>
        <row r="21">
          <cell r="E21">
            <v>86.2</v>
          </cell>
        </row>
        <row r="22">
          <cell r="E22">
            <v>87.6</v>
          </cell>
        </row>
        <row r="23">
          <cell r="E23">
            <v>91.2</v>
          </cell>
        </row>
        <row r="24">
          <cell r="E24">
            <v>90.35</v>
          </cell>
        </row>
        <row r="25">
          <cell r="E25">
            <v>90.55</v>
          </cell>
        </row>
        <row r="26">
          <cell r="E26">
            <v>91.75</v>
          </cell>
        </row>
        <row r="27">
          <cell r="E27">
            <v>90.5</v>
          </cell>
        </row>
        <row r="28">
          <cell r="E28">
            <v>91.25</v>
          </cell>
        </row>
        <row r="29">
          <cell r="E29">
            <v>91.6</v>
          </cell>
        </row>
        <row r="30">
          <cell r="E30">
            <v>91.6</v>
          </cell>
        </row>
        <row r="31">
          <cell r="E31">
            <v>92.95</v>
          </cell>
        </row>
        <row r="32">
          <cell r="E32">
            <v>93.95</v>
          </cell>
        </row>
        <row r="33">
          <cell r="E33">
            <v>95.9</v>
          </cell>
        </row>
        <row r="34">
          <cell r="E34">
            <v>97</v>
          </cell>
        </row>
        <row r="35">
          <cell r="E35">
            <v>94.9</v>
          </cell>
        </row>
        <row r="36">
          <cell r="E36">
            <v>98.4</v>
          </cell>
        </row>
        <row r="37">
          <cell r="E37">
            <v>98.5</v>
          </cell>
        </row>
        <row r="38">
          <cell r="E38">
            <v>99.9</v>
          </cell>
        </row>
        <row r="39">
          <cell r="E39">
            <v>98.05</v>
          </cell>
        </row>
        <row r="40">
          <cell r="E40">
            <v>98.95</v>
          </cell>
        </row>
        <row r="41">
          <cell r="E41">
            <v>101.15</v>
          </cell>
        </row>
        <row r="42">
          <cell r="E42">
            <v>101.4</v>
          </cell>
        </row>
        <row r="43">
          <cell r="E43">
            <v>101.7</v>
          </cell>
        </row>
        <row r="44">
          <cell r="E44">
            <v>101.95</v>
          </cell>
        </row>
        <row r="45">
          <cell r="E45">
            <v>103.25</v>
          </cell>
        </row>
        <row r="46">
          <cell r="E46">
            <v>104.55</v>
          </cell>
        </row>
        <row r="47">
          <cell r="E47">
            <v>102.25</v>
          </cell>
        </row>
        <row r="48">
          <cell r="E48">
            <v>103</v>
          </cell>
        </row>
        <row r="49">
          <cell r="E49">
            <v>103.4</v>
          </cell>
        </row>
        <row r="50">
          <cell r="E50">
            <v>106.35</v>
          </cell>
        </row>
        <row r="51">
          <cell r="E51">
            <v>105.95</v>
          </cell>
        </row>
        <row r="52">
          <cell r="E52">
            <v>106.7</v>
          </cell>
        </row>
        <row r="53">
          <cell r="E53">
            <v>109</v>
          </cell>
        </row>
        <row r="54">
          <cell r="E54">
            <v>109.5</v>
          </cell>
        </row>
        <row r="55">
          <cell r="E55">
            <v>108.65</v>
          </cell>
        </row>
        <row r="56">
          <cell r="E56">
            <v>109.35</v>
          </cell>
        </row>
        <row r="57">
          <cell r="E57">
            <v>109.95</v>
          </cell>
        </row>
      </sheetData>
      <sheetData sheetId="11" refreshError="1">
        <row r="19">
          <cell r="E19">
            <v>130.94999999999999</v>
          </cell>
        </row>
        <row r="20">
          <cell r="E20">
            <v>133.69999999999999</v>
          </cell>
        </row>
        <row r="21">
          <cell r="E21">
            <v>134.55000000000001</v>
          </cell>
        </row>
        <row r="22">
          <cell r="E22">
            <v>137.05000000000001</v>
          </cell>
        </row>
        <row r="23">
          <cell r="E23">
            <v>140.9</v>
          </cell>
        </row>
        <row r="24">
          <cell r="E24">
            <v>141.6</v>
          </cell>
        </row>
        <row r="25">
          <cell r="E25">
            <v>145.1</v>
          </cell>
        </row>
        <row r="26">
          <cell r="E26">
            <v>149.94999999999999</v>
          </cell>
        </row>
        <row r="27">
          <cell r="E27">
            <v>154</v>
          </cell>
        </row>
        <row r="28">
          <cell r="E28">
            <v>157.65</v>
          </cell>
        </row>
        <row r="29">
          <cell r="E29">
            <v>161</v>
          </cell>
        </row>
        <row r="30">
          <cell r="E30">
            <v>162.19999999999999</v>
          </cell>
        </row>
        <row r="31">
          <cell r="E31">
            <v>165.55</v>
          </cell>
        </row>
        <row r="32">
          <cell r="E32">
            <v>168.2</v>
          </cell>
        </row>
        <row r="33">
          <cell r="E33">
            <v>170.55</v>
          </cell>
        </row>
        <row r="34">
          <cell r="E34">
            <v>174.25</v>
          </cell>
        </row>
        <row r="35">
          <cell r="E35">
            <v>177.1</v>
          </cell>
        </row>
      </sheetData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D90E-2DB9-AC4A-942A-3DB5B540CE74}">
  <dimension ref="A1:J55"/>
  <sheetViews>
    <sheetView workbookViewId="0">
      <selection activeCell="D7" sqref="D7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1.3888888888888888E-2</v>
      </c>
      <c r="B2" s="3">
        <f>'[1]HR MFO'!E4</f>
        <v>83.1</v>
      </c>
      <c r="C2" s="4">
        <v>15</v>
      </c>
      <c r="D2" s="4">
        <v>587</v>
      </c>
      <c r="E2" s="4">
        <v>444</v>
      </c>
      <c r="F2" s="4">
        <v>0.76</v>
      </c>
      <c r="G2" s="4">
        <v>8.6999999999999993</v>
      </c>
      <c r="H2" s="4">
        <v>30</v>
      </c>
      <c r="I2" s="4">
        <v>17</v>
      </c>
      <c r="J2" s="4">
        <v>31.87</v>
      </c>
    </row>
    <row r="3" spans="1:10" x14ac:dyDescent="0.2">
      <c r="A3" s="1">
        <v>2.7777777777777776E-2</v>
      </c>
      <c r="B3" s="3">
        <f>'[1]HR MFO'!E5</f>
        <v>85.9</v>
      </c>
      <c r="C3" s="4">
        <v>15</v>
      </c>
      <c r="D3" s="4">
        <v>835</v>
      </c>
      <c r="E3" s="4">
        <v>549</v>
      </c>
      <c r="F3" s="4">
        <v>0.66</v>
      </c>
      <c r="G3" s="4">
        <v>12.4</v>
      </c>
      <c r="H3" s="4">
        <v>29</v>
      </c>
      <c r="I3" s="4">
        <v>19</v>
      </c>
      <c r="J3" s="4">
        <v>32.83</v>
      </c>
    </row>
    <row r="4" spans="1:10" x14ac:dyDescent="0.2">
      <c r="A4" s="1">
        <v>4.1666666666666664E-2</v>
      </c>
      <c r="B4" s="3">
        <f>'[1]HR MFO'!E6</f>
        <v>84.9</v>
      </c>
      <c r="C4" s="4">
        <v>15</v>
      </c>
      <c r="D4" s="4">
        <v>876</v>
      </c>
      <c r="E4" s="4">
        <v>593</v>
      </c>
      <c r="F4" s="4">
        <v>0.68</v>
      </c>
      <c r="G4" s="4">
        <v>13</v>
      </c>
      <c r="H4" s="4">
        <v>27</v>
      </c>
      <c r="I4" s="4">
        <v>20</v>
      </c>
      <c r="J4" s="4">
        <v>34.03</v>
      </c>
    </row>
    <row r="5" spans="1:10" x14ac:dyDescent="0.2">
      <c r="A5" s="1">
        <v>5.5555555555555552E-2</v>
      </c>
      <c r="B5" s="3">
        <f>'[1]HR MFO'!E7</f>
        <v>87</v>
      </c>
      <c r="C5" s="4">
        <v>15</v>
      </c>
      <c r="D5" s="4">
        <v>929</v>
      </c>
      <c r="E5" s="4">
        <v>652</v>
      </c>
      <c r="F5" s="4">
        <v>0.7</v>
      </c>
      <c r="G5" s="4">
        <v>13.8</v>
      </c>
      <c r="H5" s="4">
        <v>28</v>
      </c>
      <c r="I5" s="4">
        <v>22</v>
      </c>
      <c r="J5" s="4">
        <v>34.450000000000003</v>
      </c>
    </row>
    <row r="6" spans="1:10" x14ac:dyDescent="0.2">
      <c r="A6" s="1">
        <v>6.9444444444444434E-2</v>
      </c>
      <c r="B6" s="3">
        <f>'[1]HR MFO'!E8</f>
        <v>84.3</v>
      </c>
      <c r="C6" s="4">
        <v>15</v>
      </c>
      <c r="D6" s="4">
        <v>799</v>
      </c>
      <c r="E6" s="4">
        <v>599</v>
      </c>
      <c r="F6" s="4">
        <v>0.75</v>
      </c>
      <c r="G6" s="4">
        <v>11.9</v>
      </c>
      <c r="H6" s="4">
        <v>28</v>
      </c>
      <c r="I6" s="4">
        <v>20</v>
      </c>
      <c r="J6" s="4">
        <v>34.29</v>
      </c>
    </row>
    <row r="7" spans="1:10" x14ac:dyDescent="0.2">
      <c r="A7" s="1">
        <v>8.3333333333333329E-2</v>
      </c>
      <c r="B7" s="3">
        <f>'[1]HR MFO'!E9</f>
        <v>84.85</v>
      </c>
      <c r="C7" s="4">
        <v>15</v>
      </c>
      <c r="D7" s="4">
        <v>796</v>
      </c>
      <c r="E7" s="4">
        <v>618</v>
      </c>
      <c r="F7" s="4">
        <v>0.78</v>
      </c>
      <c r="G7" s="4">
        <v>11.8</v>
      </c>
      <c r="H7" s="4">
        <v>28</v>
      </c>
      <c r="I7" s="4">
        <v>20</v>
      </c>
      <c r="J7" s="4">
        <v>34.81</v>
      </c>
    </row>
    <row r="8" spans="1:10" x14ac:dyDescent="0.2">
      <c r="A8" s="1">
        <v>9.7222222222222224E-2</v>
      </c>
      <c r="B8" s="3">
        <f>'[1]HR MFO'!E10</f>
        <v>83.25</v>
      </c>
      <c r="C8" s="4">
        <v>15</v>
      </c>
      <c r="D8" s="4">
        <v>780</v>
      </c>
      <c r="E8" s="4">
        <v>614</v>
      </c>
      <c r="F8" s="4">
        <v>0.79</v>
      </c>
      <c r="G8" s="4">
        <v>11.6</v>
      </c>
      <c r="H8" s="4">
        <v>27</v>
      </c>
      <c r="I8" s="4">
        <v>20</v>
      </c>
      <c r="J8" s="4">
        <v>34.840000000000003</v>
      </c>
    </row>
    <row r="9" spans="1:10" x14ac:dyDescent="0.2">
      <c r="A9" s="1">
        <v>0.1111111111111111</v>
      </c>
      <c r="B9" s="3">
        <f>'[1]HR MFO'!E11</f>
        <v>82.45</v>
      </c>
      <c r="C9" s="4">
        <v>15</v>
      </c>
      <c r="D9" s="4">
        <v>793</v>
      </c>
      <c r="E9" s="4">
        <v>655</v>
      </c>
      <c r="F9" s="4">
        <v>0.83</v>
      </c>
      <c r="G9" s="4">
        <v>11.8</v>
      </c>
      <c r="H9" s="4">
        <v>28</v>
      </c>
      <c r="I9" s="4">
        <v>22</v>
      </c>
      <c r="J9" s="4">
        <v>34.909999999999997</v>
      </c>
    </row>
    <row r="10" spans="1:10" x14ac:dyDescent="0.2">
      <c r="A10" s="1">
        <v>0.125</v>
      </c>
      <c r="B10" s="3">
        <f>'[1]HR MFO'!E12</f>
        <v>84.1</v>
      </c>
      <c r="C10" s="4">
        <v>15</v>
      </c>
      <c r="D10" s="4">
        <v>725</v>
      </c>
      <c r="E10" s="4">
        <v>578</v>
      </c>
      <c r="F10" s="4">
        <v>0.8</v>
      </c>
      <c r="G10" s="4">
        <v>10.8</v>
      </c>
      <c r="H10" s="4">
        <v>27</v>
      </c>
      <c r="I10" s="4">
        <v>19</v>
      </c>
      <c r="J10" s="4">
        <v>35.659999999999997</v>
      </c>
    </row>
    <row r="11" spans="1:10" x14ac:dyDescent="0.2">
      <c r="A11" s="1">
        <v>0.1388888888888889</v>
      </c>
      <c r="B11" s="3">
        <f>'[1]HR MFO'!E13</f>
        <v>82.5</v>
      </c>
      <c r="C11" s="4">
        <v>30</v>
      </c>
      <c r="D11" s="4">
        <v>936</v>
      </c>
      <c r="E11" s="4">
        <v>738</v>
      </c>
      <c r="F11" s="4">
        <v>0.79</v>
      </c>
      <c r="G11" s="4">
        <v>13.9</v>
      </c>
      <c r="H11" s="4">
        <v>33</v>
      </c>
      <c r="I11" s="4">
        <v>24</v>
      </c>
      <c r="J11" s="4">
        <v>34.56</v>
      </c>
    </row>
    <row r="12" spans="1:10" x14ac:dyDescent="0.2">
      <c r="A12" s="1">
        <v>0.15277777777777776</v>
      </c>
      <c r="B12" s="3">
        <f>'[1]HR MFO'!E14</f>
        <v>84.25</v>
      </c>
      <c r="C12" s="4">
        <v>30</v>
      </c>
      <c r="D12" s="4">
        <v>850</v>
      </c>
      <c r="E12" s="4">
        <v>683</v>
      </c>
      <c r="F12" s="4">
        <v>0.8</v>
      </c>
      <c r="G12" s="4">
        <v>12.6</v>
      </c>
      <c r="H12" s="4">
        <v>28</v>
      </c>
      <c r="I12" s="4">
        <v>22</v>
      </c>
      <c r="J12" s="4">
        <v>35.36</v>
      </c>
    </row>
    <row r="13" spans="1:10" x14ac:dyDescent="0.2">
      <c r="A13" s="1">
        <v>0.16666666666666666</v>
      </c>
      <c r="B13" s="3">
        <f>'[1]HR MFO'!E15</f>
        <v>86.25</v>
      </c>
      <c r="C13" s="4">
        <v>30</v>
      </c>
      <c r="D13" s="4">
        <v>893</v>
      </c>
      <c r="E13" s="4">
        <v>701</v>
      </c>
      <c r="F13" s="4">
        <v>0.78</v>
      </c>
      <c r="G13" s="4">
        <v>13.3</v>
      </c>
      <c r="H13" s="4">
        <v>25</v>
      </c>
      <c r="I13" s="4">
        <v>21</v>
      </c>
      <c r="J13" s="4">
        <v>37.07</v>
      </c>
    </row>
    <row r="14" spans="1:10" x14ac:dyDescent="0.2">
      <c r="A14" s="1">
        <v>0.18055555555555555</v>
      </c>
      <c r="B14" s="3">
        <f>'[1]HR MFO'!E16</f>
        <v>87.65</v>
      </c>
      <c r="C14" s="4">
        <v>30</v>
      </c>
      <c r="D14" s="4">
        <v>913</v>
      </c>
      <c r="E14" s="4">
        <v>749</v>
      </c>
      <c r="F14" s="4">
        <v>0.82</v>
      </c>
      <c r="G14" s="4">
        <v>13.6</v>
      </c>
      <c r="H14" s="4">
        <v>30</v>
      </c>
      <c r="I14" s="4">
        <v>24</v>
      </c>
      <c r="J14" s="4">
        <v>35.46</v>
      </c>
    </row>
    <row r="15" spans="1:10" x14ac:dyDescent="0.2">
      <c r="A15" s="1">
        <v>0.19444444444444445</v>
      </c>
      <c r="B15" s="3">
        <f>'[1]HR MFO'!E17</f>
        <v>86.1</v>
      </c>
      <c r="C15" s="4">
        <v>30</v>
      </c>
      <c r="D15" s="4">
        <v>853</v>
      </c>
      <c r="E15" s="4">
        <v>716</v>
      </c>
      <c r="F15" s="4">
        <v>0.84</v>
      </c>
      <c r="G15" s="4">
        <v>12.7</v>
      </c>
      <c r="H15" s="4">
        <v>30</v>
      </c>
      <c r="I15" s="4">
        <v>23</v>
      </c>
      <c r="J15" s="4">
        <v>35.56</v>
      </c>
    </row>
    <row r="16" spans="1:10" x14ac:dyDescent="0.2">
      <c r="A16" s="1">
        <v>0.20833333333333334</v>
      </c>
      <c r="B16" s="3">
        <f>'[1]HR MFO'!E18</f>
        <v>85.25</v>
      </c>
      <c r="C16" s="4">
        <v>30</v>
      </c>
      <c r="D16" s="4">
        <v>902</v>
      </c>
      <c r="E16" s="4">
        <v>723</v>
      </c>
      <c r="F16" s="4">
        <v>0.8</v>
      </c>
      <c r="G16" s="4">
        <v>13.4</v>
      </c>
      <c r="H16" s="4">
        <v>29</v>
      </c>
      <c r="I16" s="4">
        <v>22</v>
      </c>
      <c r="J16" s="4">
        <v>36.54</v>
      </c>
    </row>
    <row r="17" spans="1:10" x14ac:dyDescent="0.2">
      <c r="A17" s="1">
        <v>0.22222222222222221</v>
      </c>
      <c r="B17" s="3">
        <f>'[1]HR MFO'!E19</f>
        <v>86.45</v>
      </c>
      <c r="C17" s="4">
        <v>30</v>
      </c>
      <c r="D17" s="4">
        <v>892</v>
      </c>
      <c r="E17" s="4">
        <v>736</v>
      </c>
      <c r="F17" s="4">
        <v>0.82</v>
      </c>
      <c r="G17" s="4">
        <v>13.3</v>
      </c>
      <c r="H17" s="4">
        <v>29</v>
      </c>
      <c r="I17" s="4">
        <v>22</v>
      </c>
      <c r="J17" s="4">
        <v>36.44</v>
      </c>
    </row>
    <row r="18" spans="1:10" x14ac:dyDescent="0.2">
      <c r="A18" s="1">
        <v>0.23611111111111113</v>
      </c>
      <c r="B18" s="3">
        <f>'[1]HR MFO'!E20</f>
        <v>85.65</v>
      </c>
      <c r="C18" s="4">
        <v>30</v>
      </c>
      <c r="D18" s="4">
        <v>865</v>
      </c>
      <c r="E18" s="4">
        <v>745</v>
      </c>
      <c r="F18" s="4">
        <v>0.86</v>
      </c>
      <c r="G18" s="4">
        <v>12.9</v>
      </c>
      <c r="H18" s="4">
        <v>30</v>
      </c>
      <c r="I18" s="4">
        <v>24</v>
      </c>
      <c r="J18" s="4">
        <v>35.74</v>
      </c>
    </row>
    <row r="19" spans="1:10" x14ac:dyDescent="0.2">
      <c r="A19" s="1">
        <v>0.25</v>
      </c>
      <c r="B19" s="3">
        <f>'[1]HR MFO'!E21</f>
        <v>86.2</v>
      </c>
      <c r="C19" s="4">
        <v>30</v>
      </c>
      <c r="D19" s="4">
        <v>920</v>
      </c>
      <c r="E19" s="4">
        <v>782</v>
      </c>
      <c r="F19" s="4">
        <v>0.85</v>
      </c>
      <c r="G19" s="4">
        <v>13.7</v>
      </c>
      <c r="H19" s="4">
        <v>30</v>
      </c>
      <c r="I19" s="4">
        <v>25</v>
      </c>
      <c r="J19" s="4">
        <v>35.82</v>
      </c>
    </row>
    <row r="20" spans="1:10" x14ac:dyDescent="0.2">
      <c r="A20" s="1">
        <v>0.2638888888888889</v>
      </c>
      <c r="B20" s="3">
        <f>'[1]HR MFO'!E22</f>
        <v>87.6</v>
      </c>
      <c r="C20" s="4">
        <v>45</v>
      </c>
      <c r="D20" s="4">
        <v>904</v>
      </c>
      <c r="E20" s="4">
        <v>745</v>
      </c>
      <c r="F20" s="4">
        <v>0.82</v>
      </c>
      <c r="G20" s="4">
        <v>13.4</v>
      </c>
      <c r="H20" s="4">
        <v>35</v>
      </c>
      <c r="I20" s="4">
        <v>24</v>
      </c>
      <c r="J20" s="4">
        <v>35.479999999999997</v>
      </c>
    </row>
    <row r="21" spans="1:10" x14ac:dyDescent="0.2">
      <c r="A21" s="1">
        <v>0.27777777777777779</v>
      </c>
      <c r="B21" s="3">
        <f>'[1]HR MFO'!E23</f>
        <v>91.2</v>
      </c>
      <c r="C21" s="4">
        <v>45</v>
      </c>
      <c r="D21" s="4">
        <v>957</v>
      </c>
      <c r="E21" s="4">
        <v>727</v>
      </c>
      <c r="F21" s="4">
        <v>0.76</v>
      </c>
      <c r="G21" s="4">
        <v>14.2</v>
      </c>
      <c r="H21" s="4">
        <v>43</v>
      </c>
      <c r="I21" s="4">
        <v>24</v>
      </c>
      <c r="J21" s="4">
        <v>32.68</v>
      </c>
    </row>
    <row r="22" spans="1:10" x14ac:dyDescent="0.2">
      <c r="A22" s="1">
        <v>0.29166666666666669</v>
      </c>
      <c r="B22" s="3">
        <f>'[1]HR MFO'!E24</f>
        <v>90.35</v>
      </c>
      <c r="C22" s="4">
        <v>45</v>
      </c>
      <c r="D22" s="4">
        <v>1155</v>
      </c>
      <c r="E22" s="4">
        <v>911</v>
      </c>
      <c r="F22" s="4">
        <v>0.79</v>
      </c>
      <c r="G22" s="4">
        <v>17.2</v>
      </c>
      <c r="H22" s="4">
        <v>36</v>
      </c>
      <c r="I22" s="4">
        <v>28</v>
      </c>
      <c r="J22" s="4">
        <v>36.450000000000003</v>
      </c>
    </row>
    <row r="23" spans="1:10" x14ac:dyDescent="0.2">
      <c r="A23" s="1">
        <v>0.30555555555555552</v>
      </c>
      <c r="B23" s="3">
        <f>'[1]HR MFO'!E25</f>
        <v>90.55</v>
      </c>
      <c r="C23" s="4">
        <v>45</v>
      </c>
      <c r="D23" s="4">
        <v>1171</v>
      </c>
      <c r="E23" s="4">
        <v>994</v>
      </c>
      <c r="F23" s="4">
        <v>0.85</v>
      </c>
      <c r="G23" s="4">
        <v>17.399999999999999</v>
      </c>
      <c r="H23" s="4">
        <v>32</v>
      </c>
      <c r="I23" s="4">
        <v>30</v>
      </c>
      <c r="J23" s="4">
        <v>35.76</v>
      </c>
    </row>
    <row r="24" spans="1:10" x14ac:dyDescent="0.2">
      <c r="A24" s="1">
        <v>0.31944444444444448</v>
      </c>
      <c r="B24" s="3">
        <f>'[1]HR MFO'!E26</f>
        <v>91.75</v>
      </c>
      <c r="C24" s="4">
        <v>45</v>
      </c>
      <c r="D24" s="4">
        <v>1237</v>
      </c>
      <c r="E24" s="4">
        <v>1095</v>
      </c>
      <c r="F24" s="4">
        <v>0.89</v>
      </c>
      <c r="G24" s="4">
        <v>18.399999999999999</v>
      </c>
      <c r="H24" s="4">
        <v>31</v>
      </c>
      <c r="I24" s="4">
        <v>33</v>
      </c>
      <c r="J24" s="4">
        <v>36.43</v>
      </c>
    </row>
    <row r="25" spans="1:10" x14ac:dyDescent="0.2">
      <c r="A25" s="1">
        <v>0.33333333333333331</v>
      </c>
      <c r="B25" s="3">
        <f>'[1]HR MFO'!E27</f>
        <v>90.5</v>
      </c>
      <c r="C25" s="4">
        <v>45</v>
      </c>
      <c r="D25" s="4">
        <v>1114</v>
      </c>
      <c r="E25" s="4">
        <v>1017</v>
      </c>
      <c r="F25" s="4">
        <v>0.91</v>
      </c>
      <c r="G25" s="4">
        <v>16.5</v>
      </c>
      <c r="H25" s="4">
        <v>29</v>
      </c>
      <c r="I25" s="4">
        <v>30</v>
      </c>
      <c r="J25" s="4">
        <v>37.39</v>
      </c>
    </row>
    <row r="26" spans="1:10" x14ac:dyDescent="0.2">
      <c r="A26" s="1">
        <v>0.34722222222222227</v>
      </c>
      <c r="B26" s="3">
        <f>'[1]HR MFO'!E28</f>
        <v>91.25</v>
      </c>
      <c r="C26" s="4">
        <v>45</v>
      </c>
      <c r="D26" s="4">
        <v>1001</v>
      </c>
      <c r="E26" s="4">
        <v>929</v>
      </c>
      <c r="F26" s="4">
        <v>0.93</v>
      </c>
      <c r="G26" s="4">
        <v>14.9</v>
      </c>
      <c r="H26" s="4">
        <v>27</v>
      </c>
      <c r="I26" s="4">
        <v>27</v>
      </c>
      <c r="J26" s="4">
        <v>38.520000000000003</v>
      </c>
    </row>
    <row r="27" spans="1:10" x14ac:dyDescent="0.2">
      <c r="A27" s="1">
        <v>0.3611111111111111</v>
      </c>
      <c r="B27" s="3">
        <f>'[1]HR MFO'!E29</f>
        <v>91.6</v>
      </c>
      <c r="C27" s="4">
        <v>45</v>
      </c>
      <c r="D27" s="4">
        <v>1013</v>
      </c>
      <c r="E27" s="4">
        <v>935</v>
      </c>
      <c r="F27" s="4">
        <v>0.92</v>
      </c>
      <c r="G27" s="4">
        <v>15.1</v>
      </c>
      <c r="H27" s="4">
        <v>33</v>
      </c>
      <c r="I27" s="4">
        <v>28</v>
      </c>
      <c r="J27" s="4">
        <v>36.6</v>
      </c>
    </row>
    <row r="28" spans="1:10" x14ac:dyDescent="0.2">
      <c r="A28" s="1">
        <v>0.375</v>
      </c>
      <c r="B28" s="3">
        <f>'[1]HR MFO'!E30</f>
        <v>91.6</v>
      </c>
      <c r="C28" s="4">
        <v>45</v>
      </c>
      <c r="D28" s="4">
        <v>993</v>
      </c>
      <c r="E28" s="4">
        <v>916</v>
      </c>
      <c r="F28" s="4">
        <v>0.92</v>
      </c>
      <c r="G28" s="4">
        <v>14.8</v>
      </c>
      <c r="H28" s="4">
        <v>29</v>
      </c>
      <c r="I28" s="4">
        <v>27</v>
      </c>
      <c r="J28" s="4">
        <v>36.270000000000003</v>
      </c>
    </row>
    <row r="29" spans="1:10" x14ac:dyDescent="0.2">
      <c r="A29" s="1">
        <v>0.3888888888888889</v>
      </c>
      <c r="B29" s="3">
        <f>'[1]HR MFO'!E31</f>
        <v>92.95</v>
      </c>
      <c r="C29" s="4">
        <v>60</v>
      </c>
      <c r="D29" s="4">
        <v>1049</v>
      </c>
      <c r="E29" s="4">
        <v>931</v>
      </c>
      <c r="F29" s="4">
        <v>0.89</v>
      </c>
      <c r="G29" s="4">
        <v>15.6</v>
      </c>
      <c r="H29" s="4">
        <v>33</v>
      </c>
      <c r="I29" s="4">
        <v>29</v>
      </c>
      <c r="J29" s="4">
        <v>37</v>
      </c>
    </row>
    <row r="30" spans="1:10" x14ac:dyDescent="0.2">
      <c r="A30" s="1">
        <v>0.40277777777777773</v>
      </c>
      <c r="B30" s="3">
        <f>'[1]HR MFO'!E32</f>
        <v>93.95</v>
      </c>
      <c r="C30" s="4">
        <v>60</v>
      </c>
      <c r="D30" s="4">
        <v>1140</v>
      </c>
      <c r="E30" s="4">
        <v>1012</v>
      </c>
      <c r="F30" s="4">
        <v>0.89</v>
      </c>
      <c r="G30" s="4">
        <v>16.899999999999999</v>
      </c>
      <c r="H30" s="4">
        <v>30</v>
      </c>
      <c r="I30" s="4">
        <v>30</v>
      </c>
      <c r="J30" s="4">
        <v>36.92</v>
      </c>
    </row>
    <row r="31" spans="1:10" x14ac:dyDescent="0.2">
      <c r="A31" s="1">
        <v>0.41666666666666669</v>
      </c>
      <c r="B31" s="3">
        <f>'[1]HR MFO'!E33</f>
        <v>95.9</v>
      </c>
      <c r="C31" s="4">
        <v>60</v>
      </c>
      <c r="D31" s="4">
        <v>1154</v>
      </c>
      <c r="E31" s="4">
        <v>1045</v>
      </c>
      <c r="F31" s="4">
        <v>0.91</v>
      </c>
      <c r="G31" s="4">
        <v>17.2</v>
      </c>
      <c r="H31" s="4">
        <v>32</v>
      </c>
      <c r="I31" s="4">
        <v>31</v>
      </c>
      <c r="J31" s="4">
        <v>36.49</v>
      </c>
    </row>
    <row r="32" spans="1:10" x14ac:dyDescent="0.2">
      <c r="A32" s="1">
        <v>0.43055555555555558</v>
      </c>
      <c r="B32" s="3">
        <f>'[1]HR MFO'!E34</f>
        <v>97</v>
      </c>
      <c r="C32" s="4">
        <v>60</v>
      </c>
      <c r="D32" s="4">
        <v>1177</v>
      </c>
      <c r="E32" s="4">
        <v>1083</v>
      </c>
      <c r="F32" s="4">
        <v>0.92</v>
      </c>
      <c r="G32" s="4">
        <v>17.5</v>
      </c>
      <c r="H32" s="4">
        <v>34</v>
      </c>
      <c r="I32" s="4">
        <v>32</v>
      </c>
      <c r="J32" s="4">
        <v>36.26</v>
      </c>
    </row>
    <row r="33" spans="1:10" x14ac:dyDescent="0.2">
      <c r="A33" s="1">
        <v>0.44444444444444442</v>
      </c>
      <c r="B33" s="3">
        <f>'[1]HR MFO'!E35</f>
        <v>94.9</v>
      </c>
      <c r="C33" s="4">
        <v>60</v>
      </c>
      <c r="D33" s="4">
        <v>1204</v>
      </c>
      <c r="E33" s="4">
        <v>1115</v>
      </c>
      <c r="F33" s="4">
        <v>0.93</v>
      </c>
      <c r="G33" s="4">
        <v>17.899999999999999</v>
      </c>
      <c r="H33" s="4">
        <v>33</v>
      </c>
      <c r="I33" s="4">
        <v>33</v>
      </c>
      <c r="J33" s="4">
        <v>36.64</v>
      </c>
    </row>
    <row r="34" spans="1:10" x14ac:dyDescent="0.2">
      <c r="A34" s="1">
        <v>0.45833333333333331</v>
      </c>
      <c r="B34" s="3">
        <f>'[1]HR MFO'!E36</f>
        <v>98.4</v>
      </c>
      <c r="C34" s="4">
        <v>60</v>
      </c>
      <c r="D34" s="4">
        <v>1149</v>
      </c>
      <c r="E34" s="4">
        <v>1069</v>
      </c>
      <c r="F34" s="4">
        <v>0.93</v>
      </c>
      <c r="G34" s="4">
        <v>17.100000000000001</v>
      </c>
      <c r="H34" s="4">
        <v>29</v>
      </c>
      <c r="I34" s="4">
        <v>31</v>
      </c>
      <c r="J34" s="4">
        <v>36.72</v>
      </c>
    </row>
    <row r="35" spans="1:10" x14ac:dyDescent="0.2">
      <c r="A35" s="1">
        <v>0.47222222222222227</v>
      </c>
      <c r="B35" s="3">
        <f>'[1]HR MFO'!E37</f>
        <v>98.5</v>
      </c>
      <c r="C35" s="4">
        <v>60</v>
      </c>
      <c r="D35" s="4">
        <v>1152</v>
      </c>
      <c r="E35" s="4">
        <v>1076</v>
      </c>
      <c r="F35" s="4">
        <v>0.93</v>
      </c>
      <c r="G35" s="4">
        <v>17.100000000000001</v>
      </c>
      <c r="H35" s="4">
        <v>32</v>
      </c>
      <c r="I35" s="4">
        <v>32</v>
      </c>
      <c r="J35" s="4">
        <v>36.61</v>
      </c>
    </row>
    <row r="36" spans="1:10" x14ac:dyDescent="0.2">
      <c r="A36" s="1">
        <v>0.4861111111111111</v>
      </c>
      <c r="B36" s="3">
        <f>'[1]HR MFO'!E38</f>
        <v>99.9</v>
      </c>
      <c r="C36" s="4">
        <v>60</v>
      </c>
      <c r="D36" s="4">
        <v>1182</v>
      </c>
      <c r="E36" s="4">
        <v>1104</v>
      </c>
      <c r="F36" s="4">
        <v>0.93</v>
      </c>
      <c r="G36" s="4">
        <v>17.600000000000001</v>
      </c>
      <c r="H36" s="4">
        <v>30</v>
      </c>
      <c r="I36" s="4">
        <v>32</v>
      </c>
      <c r="J36" s="4">
        <v>37</v>
      </c>
    </row>
    <row r="37" spans="1:10" x14ac:dyDescent="0.2">
      <c r="A37" s="1">
        <v>0.5</v>
      </c>
      <c r="B37" s="3">
        <f>'[1]HR MFO'!E39</f>
        <v>98.05</v>
      </c>
      <c r="C37" s="4">
        <v>60</v>
      </c>
      <c r="D37" s="4">
        <v>1186</v>
      </c>
      <c r="E37" s="4">
        <v>1109</v>
      </c>
      <c r="F37" s="4">
        <v>0.94</v>
      </c>
      <c r="G37" s="4">
        <v>17.600000000000001</v>
      </c>
      <c r="H37" s="4">
        <v>33</v>
      </c>
      <c r="I37" s="4">
        <v>34</v>
      </c>
      <c r="J37" s="4">
        <v>36.5</v>
      </c>
    </row>
    <row r="38" spans="1:10" x14ac:dyDescent="0.2">
      <c r="A38" s="1">
        <v>0.51388888888888895</v>
      </c>
      <c r="B38" s="3">
        <f>'[1]HR MFO'!E40</f>
        <v>98.95</v>
      </c>
      <c r="C38" s="4">
        <v>75</v>
      </c>
      <c r="D38" s="4">
        <v>1240</v>
      </c>
      <c r="E38" s="4">
        <v>1150</v>
      </c>
      <c r="F38" s="4">
        <v>0.93</v>
      </c>
      <c r="G38" s="4">
        <v>18.399999999999999</v>
      </c>
      <c r="H38" s="4">
        <v>32</v>
      </c>
      <c r="I38" s="4">
        <v>34</v>
      </c>
      <c r="J38" s="4">
        <v>37.86</v>
      </c>
    </row>
    <row r="39" spans="1:10" x14ac:dyDescent="0.2">
      <c r="A39" s="1">
        <v>0.52777777777777779</v>
      </c>
      <c r="B39" s="3">
        <f>'[1]HR MFO'!E41</f>
        <v>101.15</v>
      </c>
      <c r="C39" s="4">
        <v>75</v>
      </c>
      <c r="D39" s="4">
        <v>1250</v>
      </c>
      <c r="E39" s="4">
        <v>1163</v>
      </c>
      <c r="F39" s="4">
        <v>0.93</v>
      </c>
      <c r="G39" s="4">
        <v>18.600000000000001</v>
      </c>
      <c r="H39" s="4">
        <v>30</v>
      </c>
      <c r="I39" s="4">
        <v>34</v>
      </c>
      <c r="J39" s="4">
        <v>37.57</v>
      </c>
    </row>
    <row r="40" spans="1:10" x14ac:dyDescent="0.2">
      <c r="A40" s="1">
        <v>0.54166666666666663</v>
      </c>
      <c r="B40" s="3">
        <f>'[1]HR MFO'!E42</f>
        <v>101.4</v>
      </c>
      <c r="C40" s="4">
        <v>75</v>
      </c>
      <c r="D40" s="4">
        <v>1258</v>
      </c>
      <c r="E40" s="4">
        <v>1194</v>
      </c>
      <c r="F40" s="4">
        <v>0.95</v>
      </c>
      <c r="G40" s="4">
        <v>18.7</v>
      </c>
      <c r="H40" s="4">
        <v>33</v>
      </c>
      <c r="I40" s="4">
        <v>36</v>
      </c>
      <c r="J40" s="4">
        <v>37.270000000000003</v>
      </c>
    </row>
    <row r="41" spans="1:10" x14ac:dyDescent="0.2">
      <c r="A41" s="1">
        <v>0.55555555555555558</v>
      </c>
      <c r="B41" s="3">
        <f>'[1]HR MFO'!E43</f>
        <v>101.7</v>
      </c>
      <c r="C41" s="4">
        <v>75</v>
      </c>
      <c r="D41" s="4">
        <v>1309</v>
      </c>
      <c r="E41" s="4">
        <v>1212</v>
      </c>
      <c r="F41" s="4">
        <v>0.93</v>
      </c>
      <c r="G41" s="4">
        <v>19.5</v>
      </c>
      <c r="H41" s="4">
        <v>32</v>
      </c>
      <c r="I41" s="4">
        <v>35</v>
      </c>
      <c r="J41" s="4">
        <v>38.03</v>
      </c>
    </row>
    <row r="42" spans="1:10" x14ac:dyDescent="0.2">
      <c r="A42" s="1">
        <v>0.56944444444444442</v>
      </c>
      <c r="B42" s="3">
        <f>'[1]HR MFO'!E44</f>
        <v>101.95</v>
      </c>
      <c r="C42" s="4">
        <v>75</v>
      </c>
      <c r="D42" s="4">
        <v>1239</v>
      </c>
      <c r="E42" s="4">
        <v>1145</v>
      </c>
      <c r="F42" s="4">
        <v>0.92</v>
      </c>
      <c r="G42" s="4">
        <v>18.399999999999999</v>
      </c>
      <c r="H42" s="4">
        <v>35</v>
      </c>
      <c r="I42" s="4">
        <v>34</v>
      </c>
      <c r="J42" s="4">
        <v>38.03</v>
      </c>
    </row>
    <row r="43" spans="1:10" x14ac:dyDescent="0.2">
      <c r="A43" s="1">
        <v>0.58333333333333337</v>
      </c>
      <c r="B43" s="3">
        <f>'[1]HR MFO'!E45</f>
        <v>103.25</v>
      </c>
      <c r="C43" s="4">
        <v>75</v>
      </c>
      <c r="D43" s="4">
        <v>1369</v>
      </c>
      <c r="E43" s="4">
        <v>1264</v>
      </c>
      <c r="F43" s="4">
        <v>0.92</v>
      </c>
      <c r="G43" s="4">
        <v>20.3</v>
      </c>
      <c r="H43" s="4">
        <v>36</v>
      </c>
      <c r="I43" s="4">
        <v>37</v>
      </c>
      <c r="J43" s="4">
        <v>37.65</v>
      </c>
    </row>
    <row r="44" spans="1:10" x14ac:dyDescent="0.2">
      <c r="A44" s="1">
        <v>0.59722222222222221</v>
      </c>
      <c r="B44" s="3">
        <f>'[1]HR MFO'!E46</f>
        <v>104.55</v>
      </c>
      <c r="C44" s="4">
        <v>75</v>
      </c>
      <c r="D44" s="4">
        <v>1376</v>
      </c>
      <c r="E44" s="4">
        <v>1331</v>
      </c>
      <c r="F44" s="4">
        <v>0.97</v>
      </c>
      <c r="G44" s="4">
        <v>20.399999999999999</v>
      </c>
      <c r="H44" s="4">
        <v>33</v>
      </c>
      <c r="I44" s="4">
        <v>38</v>
      </c>
      <c r="J44" s="4">
        <v>38.29</v>
      </c>
    </row>
    <row r="45" spans="1:10" x14ac:dyDescent="0.2">
      <c r="A45" s="1">
        <v>0.61111111111111105</v>
      </c>
      <c r="B45" s="3">
        <f>'[1]HR MFO'!E47</f>
        <v>102.25</v>
      </c>
      <c r="C45" s="4">
        <v>75</v>
      </c>
      <c r="D45" s="4">
        <v>1405</v>
      </c>
      <c r="E45" s="4">
        <v>1391</v>
      </c>
      <c r="F45" s="4">
        <v>0.99</v>
      </c>
      <c r="G45" s="4">
        <v>20.9</v>
      </c>
      <c r="H45" s="4">
        <v>31</v>
      </c>
      <c r="I45" s="4">
        <v>39</v>
      </c>
      <c r="J45" s="4">
        <v>38.520000000000003</v>
      </c>
    </row>
    <row r="46" spans="1:10" x14ac:dyDescent="0.2">
      <c r="A46" s="1">
        <v>0.625</v>
      </c>
      <c r="B46" s="3">
        <f>'[1]HR MFO'!E48</f>
        <v>103</v>
      </c>
      <c r="C46" s="4">
        <v>75</v>
      </c>
      <c r="D46" s="4">
        <v>1403</v>
      </c>
      <c r="E46" s="4">
        <v>1395</v>
      </c>
      <c r="F46" s="4">
        <v>0.99</v>
      </c>
      <c r="G46" s="4">
        <v>20.9</v>
      </c>
      <c r="H46" s="4">
        <v>31</v>
      </c>
      <c r="I46" s="4">
        <v>40</v>
      </c>
      <c r="J46" s="4">
        <v>37.4</v>
      </c>
    </row>
    <row r="47" spans="1:10" x14ac:dyDescent="0.2">
      <c r="A47" s="1">
        <v>0.63888888888888895</v>
      </c>
      <c r="B47" s="3">
        <f>'[1]HR MFO'!E49</f>
        <v>103.4</v>
      </c>
      <c r="C47" s="4">
        <v>90</v>
      </c>
      <c r="D47" s="4">
        <v>1370</v>
      </c>
      <c r="E47" s="4">
        <v>1324</v>
      </c>
      <c r="F47" s="4">
        <v>0.97</v>
      </c>
      <c r="G47" s="4">
        <v>20.399999999999999</v>
      </c>
      <c r="H47" s="4">
        <v>35</v>
      </c>
      <c r="I47" s="4">
        <v>39</v>
      </c>
      <c r="J47" s="4">
        <v>38.840000000000003</v>
      </c>
    </row>
    <row r="48" spans="1:10" x14ac:dyDescent="0.2">
      <c r="A48" s="1">
        <v>0.65277777777777801</v>
      </c>
      <c r="B48" s="3">
        <f>'[1]HR MFO'!E50</f>
        <v>106.35</v>
      </c>
      <c r="C48" s="4">
        <v>90</v>
      </c>
      <c r="D48" s="4">
        <v>1407</v>
      </c>
      <c r="E48" s="4">
        <v>1360</v>
      </c>
      <c r="F48" s="4">
        <v>0.97</v>
      </c>
      <c r="G48" s="4">
        <v>20.9</v>
      </c>
      <c r="H48" s="4">
        <v>31</v>
      </c>
      <c r="I48" s="4">
        <v>38</v>
      </c>
      <c r="J48" s="4">
        <v>38.090000000000003</v>
      </c>
    </row>
    <row r="49" spans="1:10" x14ac:dyDescent="0.2">
      <c r="A49" s="1">
        <v>0.66666666666666596</v>
      </c>
      <c r="B49" s="3">
        <f>'[1]HR MFO'!E51</f>
        <v>105.95</v>
      </c>
      <c r="C49" s="4">
        <v>90</v>
      </c>
      <c r="D49" s="4">
        <v>1417</v>
      </c>
      <c r="E49" s="4">
        <v>1408</v>
      </c>
      <c r="F49" s="4">
        <v>0.99</v>
      </c>
      <c r="G49" s="4">
        <v>21.1</v>
      </c>
      <c r="H49" s="4">
        <v>33</v>
      </c>
      <c r="I49" s="4">
        <v>40</v>
      </c>
      <c r="J49" s="4">
        <v>37.409999999999997</v>
      </c>
    </row>
    <row r="50" spans="1:10" x14ac:dyDescent="0.2">
      <c r="A50" s="1">
        <v>0.68055555555555503</v>
      </c>
      <c r="B50" s="3">
        <f>'[1]HR MFO'!E52</f>
        <v>106.7</v>
      </c>
      <c r="C50" s="4">
        <v>90</v>
      </c>
      <c r="D50" s="4">
        <v>1459</v>
      </c>
      <c r="E50" s="4">
        <v>1444</v>
      </c>
      <c r="F50" s="4">
        <v>0.99</v>
      </c>
      <c r="G50" s="4">
        <v>21.7</v>
      </c>
      <c r="H50" s="4">
        <v>33</v>
      </c>
      <c r="I50" s="4">
        <v>41</v>
      </c>
      <c r="J50" s="4">
        <v>38.409999999999997</v>
      </c>
    </row>
    <row r="51" spans="1:10" x14ac:dyDescent="0.2">
      <c r="A51" s="1">
        <v>0.69444444444444398</v>
      </c>
      <c r="B51" s="3">
        <f>'[1]HR MFO'!E53</f>
        <v>109</v>
      </c>
      <c r="C51" s="4">
        <v>90</v>
      </c>
      <c r="D51" s="4">
        <v>1438</v>
      </c>
      <c r="E51" s="4">
        <v>1405</v>
      </c>
      <c r="F51" s="4">
        <v>0.98</v>
      </c>
      <c r="G51" s="4">
        <v>21.4</v>
      </c>
      <c r="H51" s="4">
        <v>31</v>
      </c>
      <c r="I51" s="4">
        <v>39</v>
      </c>
      <c r="J51" s="4">
        <v>39.29</v>
      </c>
    </row>
    <row r="52" spans="1:10" x14ac:dyDescent="0.2">
      <c r="A52" s="1">
        <v>0.70833333333333304</v>
      </c>
      <c r="B52" s="3">
        <f>'[1]HR MFO'!E54</f>
        <v>109.5</v>
      </c>
      <c r="C52" s="4">
        <v>90</v>
      </c>
      <c r="D52" s="4">
        <v>1536</v>
      </c>
      <c r="E52" s="4">
        <v>1505</v>
      </c>
      <c r="F52" s="4">
        <v>0.98</v>
      </c>
      <c r="G52" s="4">
        <v>22.8</v>
      </c>
      <c r="H52" s="4">
        <v>32</v>
      </c>
      <c r="I52" s="4">
        <v>42</v>
      </c>
      <c r="J52" s="4">
        <v>38.92</v>
      </c>
    </row>
    <row r="53" spans="1:10" x14ac:dyDescent="0.2">
      <c r="A53" s="1">
        <v>0.72222222222222099</v>
      </c>
      <c r="B53" s="3">
        <f>'[1]HR MFO'!E55</f>
        <v>108.65</v>
      </c>
      <c r="C53" s="4">
        <v>90</v>
      </c>
      <c r="D53" s="4">
        <v>1553</v>
      </c>
      <c r="E53" s="4">
        <v>1564</v>
      </c>
      <c r="F53" s="4">
        <v>1.01</v>
      </c>
      <c r="G53" s="4">
        <v>23.1</v>
      </c>
      <c r="H53" s="4">
        <v>33</v>
      </c>
      <c r="I53" s="4">
        <v>44</v>
      </c>
      <c r="J53" s="4">
        <v>38.43</v>
      </c>
    </row>
    <row r="54" spans="1:10" x14ac:dyDescent="0.2">
      <c r="A54" s="1">
        <v>0.73611111111111005</v>
      </c>
      <c r="B54" s="3">
        <f>'[1]HR MFO'!E56</f>
        <v>109.35</v>
      </c>
      <c r="C54" s="4">
        <v>90</v>
      </c>
      <c r="D54" s="4">
        <v>1484</v>
      </c>
      <c r="E54" s="4">
        <v>1513</v>
      </c>
      <c r="F54" s="4">
        <v>1.02</v>
      </c>
      <c r="G54" s="4">
        <v>22.1</v>
      </c>
      <c r="H54" s="4">
        <v>37</v>
      </c>
      <c r="I54" s="4">
        <v>44</v>
      </c>
      <c r="J54" s="4">
        <v>37.44</v>
      </c>
    </row>
    <row r="55" spans="1:10" x14ac:dyDescent="0.2">
      <c r="A55" s="1">
        <v>0.749999999999999</v>
      </c>
      <c r="B55" s="3">
        <f>'[1]HR MFO'!E57</f>
        <v>109.95</v>
      </c>
      <c r="C55" s="4">
        <v>90</v>
      </c>
      <c r="D55" s="4">
        <v>1527</v>
      </c>
      <c r="E55" s="4">
        <v>1540</v>
      </c>
      <c r="F55" s="4">
        <v>1.01</v>
      </c>
      <c r="G55" s="4">
        <v>22.7</v>
      </c>
      <c r="H55" s="4">
        <v>35</v>
      </c>
      <c r="I55" s="4">
        <v>44</v>
      </c>
      <c r="J55" s="4">
        <v>37.89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DD75-3D32-D541-98BD-67F6CC3CB917}">
  <dimension ref="A1:J18"/>
  <sheetViews>
    <sheetView workbookViewId="0">
      <selection activeCell="D5" sqref="D5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5">
        <v>1.3888888888888888E-2</v>
      </c>
      <c r="B2" s="6">
        <f>'[1]HR VO2Max'!E19</f>
        <v>130.94999999999999</v>
      </c>
      <c r="C2" s="7">
        <v>90</v>
      </c>
      <c r="D2" s="7">
        <v>570</v>
      </c>
      <c r="E2" s="7">
        <v>483</v>
      </c>
      <c r="F2" s="8">
        <v>0.85</v>
      </c>
      <c r="G2" s="7">
        <v>8.5</v>
      </c>
      <c r="H2" s="7">
        <v>32</v>
      </c>
      <c r="I2" s="7">
        <v>18</v>
      </c>
      <c r="J2" s="7">
        <v>31.88</v>
      </c>
    </row>
    <row r="3" spans="1:10" x14ac:dyDescent="0.2">
      <c r="A3" s="5">
        <v>2.7777777777777776E-2</v>
      </c>
      <c r="B3" s="6">
        <f>'[1]HR VO2Max'!E20</f>
        <v>133.69999999999999</v>
      </c>
      <c r="C3" s="7">
        <v>90</v>
      </c>
      <c r="D3" s="7">
        <v>956</v>
      </c>
      <c r="E3" s="7">
        <v>693</v>
      </c>
      <c r="F3" s="8">
        <v>0.72</v>
      </c>
      <c r="G3" s="7">
        <v>14.2</v>
      </c>
      <c r="H3" s="7">
        <v>26</v>
      </c>
      <c r="I3" s="7">
        <v>23</v>
      </c>
      <c r="J3" s="7">
        <v>33.200000000000003</v>
      </c>
    </row>
    <row r="4" spans="1:10" x14ac:dyDescent="0.2">
      <c r="A4" s="5">
        <v>4.1666666666666664E-2</v>
      </c>
      <c r="B4" s="6">
        <f>'[1]HR VO2Max'!E21</f>
        <v>134.55000000000001</v>
      </c>
      <c r="C4" s="7">
        <v>90</v>
      </c>
      <c r="D4" s="7">
        <v>1245</v>
      </c>
      <c r="E4" s="7">
        <v>898</v>
      </c>
      <c r="F4" s="8">
        <v>0.72</v>
      </c>
      <c r="G4" s="7">
        <v>18.5</v>
      </c>
      <c r="H4" s="7">
        <v>26</v>
      </c>
      <c r="I4" s="7">
        <v>28</v>
      </c>
      <c r="J4" s="7">
        <v>36.32</v>
      </c>
    </row>
    <row r="5" spans="1:10" x14ac:dyDescent="0.2">
      <c r="A5" s="5">
        <v>5.5555555555555552E-2</v>
      </c>
      <c r="B5" s="6">
        <f>'[1]HR VO2Max'!E22</f>
        <v>137.05000000000001</v>
      </c>
      <c r="C5" s="7">
        <v>105</v>
      </c>
      <c r="D5" s="7">
        <v>1320</v>
      </c>
      <c r="E5" s="7">
        <v>1090</v>
      </c>
      <c r="F5" s="8">
        <v>0.83</v>
      </c>
      <c r="G5" s="7">
        <v>19.600000000000001</v>
      </c>
      <c r="H5" s="7">
        <v>28</v>
      </c>
      <c r="I5" s="7">
        <v>32</v>
      </c>
      <c r="J5" s="7">
        <v>36.909999999999997</v>
      </c>
    </row>
    <row r="6" spans="1:10" x14ac:dyDescent="0.2">
      <c r="A6" s="5">
        <v>6.9444444444444434E-2</v>
      </c>
      <c r="B6" s="6">
        <f>'[1]HR VO2Max'!E23</f>
        <v>140.9</v>
      </c>
      <c r="C6" s="7">
        <v>105</v>
      </c>
      <c r="D6" s="7">
        <v>1431</v>
      </c>
      <c r="E6" s="7">
        <v>1284</v>
      </c>
      <c r="F6" s="8">
        <v>0.9</v>
      </c>
      <c r="G6" s="7">
        <v>21.3</v>
      </c>
      <c r="H6" s="7">
        <v>32</v>
      </c>
      <c r="I6" s="7">
        <v>37</v>
      </c>
      <c r="J6" s="7">
        <v>37.57</v>
      </c>
    </row>
    <row r="7" spans="1:10" x14ac:dyDescent="0.2">
      <c r="A7" s="5">
        <v>8.3333333333333329E-2</v>
      </c>
      <c r="B7" s="6">
        <f>'[1]HR VO2Max'!E24</f>
        <v>141.6</v>
      </c>
      <c r="C7" s="7">
        <v>105</v>
      </c>
      <c r="D7" s="7">
        <v>1400</v>
      </c>
      <c r="E7" s="7">
        <v>1356</v>
      </c>
      <c r="F7" s="8">
        <v>0.97</v>
      </c>
      <c r="G7" s="7">
        <v>20.8</v>
      </c>
      <c r="H7" s="7">
        <v>32</v>
      </c>
      <c r="I7" s="7">
        <v>38</v>
      </c>
      <c r="J7" s="7">
        <v>38.29</v>
      </c>
    </row>
    <row r="8" spans="1:10" x14ac:dyDescent="0.2">
      <c r="A8" s="5">
        <v>9.7222222222222224E-2</v>
      </c>
      <c r="B8" s="6">
        <f>'[1]HR VO2Max'!E25</f>
        <v>145.1</v>
      </c>
      <c r="C8" s="7">
        <v>120</v>
      </c>
      <c r="D8" s="7">
        <v>1462</v>
      </c>
      <c r="E8" s="7">
        <v>1456</v>
      </c>
      <c r="F8" s="8">
        <v>1</v>
      </c>
      <c r="G8" s="7">
        <v>21.7</v>
      </c>
      <c r="H8" s="7">
        <v>33</v>
      </c>
      <c r="I8" s="7">
        <v>40</v>
      </c>
      <c r="J8" s="7">
        <v>38.9</v>
      </c>
    </row>
    <row r="9" spans="1:10" x14ac:dyDescent="0.2">
      <c r="A9" s="5">
        <v>0.1111111111111111</v>
      </c>
      <c r="B9" s="6">
        <f>'[1]HR VO2Max'!E26</f>
        <v>149.94999999999999</v>
      </c>
      <c r="C9" s="7">
        <v>120</v>
      </c>
      <c r="D9" s="7">
        <v>1441</v>
      </c>
      <c r="E9" s="7">
        <v>1475</v>
      </c>
      <c r="F9" s="8">
        <v>1.02</v>
      </c>
      <c r="G9" s="7">
        <v>21.4</v>
      </c>
      <c r="H9" s="7">
        <v>32</v>
      </c>
      <c r="I9" s="7">
        <v>40</v>
      </c>
      <c r="J9" s="7">
        <v>39.159999999999997</v>
      </c>
    </row>
    <row r="10" spans="1:10" x14ac:dyDescent="0.2">
      <c r="A10" s="5">
        <v>0.125</v>
      </c>
      <c r="B10" s="6">
        <f>'[1]HR VO2Max'!E27</f>
        <v>154</v>
      </c>
      <c r="C10" s="7">
        <v>120</v>
      </c>
      <c r="D10" s="7">
        <v>1527</v>
      </c>
      <c r="E10" s="7">
        <v>1556</v>
      </c>
      <c r="F10" s="8">
        <v>1.02</v>
      </c>
      <c r="G10" s="7">
        <v>22.7</v>
      </c>
      <c r="H10" s="7">
        <v>35</v>
      </c>
      <c r="I10" s="7">
        <v>42</v>
      </c>
      <c r="J10" s="7">
        <v>39.49</v>
      </c>
    </row>
    <row r="11" spans="1:10" x14ac:dyDescent="0.2">
      <c r="A11" s="5">
        <v>0.1388888888888889</v>
      </c>
      <c r="B11" s="6">
        <f>'[1]HR VO2Max'!E28</f>
        <v>157.65</v>
      </c>
      <c r="C11" s="7">
        <v>135</v>
      </c>
      <c r="D11" s="7">
        <v>1593</v>
      </c>
      <c r="E11" s="7">
        <v>1676</v>
      </c>
      <c r="F11" s="8">
        <v>1.05</v>
      </c>
      <c r="G11" s="7">
        <v>23.7</v>
      </c>
      <c r="H11" s="7">
        <v>35</v>
      </c>
      <c r="I11" s="7">
        <v>45</v>
      </c>
      <c r="J11" s="7">
        <v>39.090000000000003</v>
      </c>
    </row>
    <row r="12" spans="1:10" x14ac:dyDescent="0.2">
      <c r="A12" s="5">
        <v>0.15277777777777776</v>
      </c>
      <c r="B12" s="6">
        <f>'[1]HR VO2Max'!E29</f>
        <v>161</v>
      </c>
      <c r="C12" s="7">
        <v>135</v>
      </c>
      <c r="D12" s="7">
        <v>1581</v>
      </c>
      <c r="E12" s="7">
        <v>1694</v>
      </c>
      <c r="F12" s="8">
        <v>1.07</v>
      </c>
      <c r="G12" s="7">
        <v>23.5</v>
      </c>
      <c r="H12" s="7">
        <v>32</v>
      </c>
      <c r="I12" s="7">
        <v>44</v>
      </c>
      <c r="J12" s="7">
        <v>40.090000000000003</v>
      </c>
    </row>
    <row r="13" spans="1:10" x14ac:dyDescent="0.2">
      <c r="A13" s="5">
        <v>0.16666666666666666</v>
      </c>
      <c r="B13" s="6">
        <f>'[1]HR VO2Max'!E30</f>
        <v>162.19999999999999</v>
      </c>
      <c r="C13" s="7">
        <v>135</v>
      </c>
      <c r="D13" s="7">
        <v>1732</v>
      </c>
      <c r="E13" s="7">
        <v>1746</v>
      </c>
      <c r="F13" s="8">
        <v>1.01</v>
      </c>
      <c r="G13" s="7">
        <v>25.7</v>
      </c>
      <c r="H13" s="7">
        <v>36</v>
      </c>
      <c r="I13" s="7">
        <v>45</v>
      </c>
      <c r="J13" s="7">
        <v>41.32</v>
      </c>
    </row>
    <row r="14" spans="1:10" x14ac:dyDescent="0.2">
      <c r="A14" s="5">
        <v>0.18055555555555555</v>
      </c>
      <c r="B14" s="6">
        <f>'[1]HR VO2Max'!E31</f>
        <v>165.55</v>
      </c>
      <c r="C14" s="7">
        <v>150</v>
      </c>
      <c r="D14" s="7">
        <v>1710</v>
      </c>
      <c r="E14" s="7">
        <v>1800</v>
      </c>
      <c r="F14" s="8">
        <v>1.05</v>
      </c>
      <c r="G14" s="7">
        <v>25.4</v>
      </c>
      <c r="H14" s="7">
        <v>35</v>
      </c>
      <c r="I14" s="7">
        <v>46</v>
      </c>
      <c r="J14" s="7">
        <v>41.08</v>
      </c>
    </row>
    <row r="15" spans="1:10" x14ac:dyDescent="0.2">
      <c r="A15" s="5">
        <v>0.19444444444444445</v>
      </c>
      <c r="B15" s="6">
        <f>'[1]HR VO2Max'!E32</f>
        <v>168.2</v>
      </c>
      <c r="C15" s="7">
        <v>150</v>
      </c>
      <c r="D15" s="7">
        <v>1774</v>
      </c>
      <c r="E15" s="7">
        <v>1890</v>
      </c>
      <c r="F15" s="8">
        <v>1.07</v>
      </c>
      <c r="G15" s="7">
        <v>26.4</v>
      </c>
      <c r="H15" s="7">
        <v>35</v>
      </c>
      <c r="I15" s="7">
        <v>47</v>
      </c>
      <c r="J15" s="7">
        <v>41.33</v>
      </c>
    </row>
    <row r="16" spans="1:10" x14ac:dyDescent="0.2">
      <c r="A16" s="9">
        <v>0.20833333333333334</v>
      </c>
      <c r="B16" s="6">
        <f>'[1]HR VO2Max'!E33</f>
        <v>170.55</v>
      </c>
      <c r="C16" s="7">
        <v>150</v>
      </c>
      <c r="D16" s="7">
        <v>1776</v>
      </c>
      <c r="E16" s="7">
        <v>1962</v>
      </c>
      <c r="F16" s="8">
        <v>1.1000000000000001</v>
      </c>
      <c r="G16" s="7">
        <v>26.4</v>
      </c>
      <c r="H16" s="7">
        <v>36</v>
      </c>
      <c r="I16" s="7">
        <v>50</v>
      </c>
      <c r="J16" s="7">
        <v>41.16</v>
      </c>
    </row>
    <row r="17" spans="1:10" x14ac:dyDescent="0.2">
      <c r="A17" s="5">
        <v>0.22222222222222221</v>
      </c>
      <c r="B17" s="6">
        <f>'[1]HR VO2Max'!E34</f>
        <v>174.25</v>
      </c>
      <c r="C17" s="7">
        <v>165</v>
      </c>
      <c r="D17" s="7">
        <v>1972</v>
      </c>
      <c r="E17" s="7">
        <v>2224</v>
      </c>
      <c r="F17" s="8">
        <v>1.1299999999999999</v>
      </c>
      <c r="G17" s="7">
        <v>29.3</v>
      </c>
      <c r="H17" s="7">
        <v>39</v>
      </c>
      <c r="I17" s="7">
        <v>59</v>
      </c>
      <c r="J17" s="7">
        <v>40.1</v>
      </c>
    </row>
    <row r="18" spans="1:10" x14ac:dyDescent="0.2">
      <c r="A18" s="5">
        <v>0.23611111111111113</v>
      </c>
      <c r="B18" s="6">
        <f>'[1]HR VO2Max'!E35</f>
        <v>177.1</v>
      </c>
      <c r="C18" s="7">
        <v>165</v>
      </c>
      <c r="D18" s="7">
        <v>1972</v>
      </c>
      <c r="E18" s="7">
        <v>2308</v>
      </c>
      <c r="F18" s="8">
        <v>1.17</v>
      </c>
      <c r="G18" s="7">
        <v>29.3</v>
      </c>
      <c r="H18" s="7">
        <v>40</v>
      </c>
      <c r="I18" s="7">
        <v>62</v>
      </c>
      <c r="J18" s="7">
        <v>39.49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9AF2-5CAC-4F44-962F-CC1CD92EA83A}">
  <dimension ref="A1:J91"/>
  <sheetViews>
    <sheetView tabSelected="1" workbookViewId="0"/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1.3888888888888888E-2</v>
      </c>
      <c r="B2" s="13">
        <f>'[1]HR MET BASAL'!E4</f>
        <v>60.7</v>
      </c>
      <c r="C2" s="13">
        <v>0</v>
      </c>
      <c r="D2" s="13">
        <v>210</v>
      </c>
      <c r="E2" s="13">
        <v>190</v>
      </c>
      <c r="F2" s="14">
        <v>0.91</v>
      </c>
      <c r="G2" s="14">
        <v>3.1</v>
      </c>
      <c r="H2" s="13">
        <v>15</v>
      </c>
      <c r="I2" s="13">
        <v>7</v>
      </c>
      <c r="J2" s="14">
        <v>35.85</v>
      </c>
    </row>
    <row r="3" spans="1:10" x14ac:dyDescent="0.2">
      <c r="A3" s="1">
        <v>2.7777777777777776E-2</v>
      </c>
      <c r="B3" s="13">
        <f>'[1]HR MET BASAL'!E5</f>
        <v>59.75</v>
      </c>
      <c r="C3" s="13">
        <v>0</v>
      </c>
      <c r="D3" s="13">
        <v>260</v>
      </c>
      <c r="E3" s="13">
        <v>231</v>
      </c>
      <c r="F3" s="14">
        <v>0.89</v>
      </c>
      <c r="G3" s="14">
        <v>3.9</v>
      </c>
      <c r="H3" s="13">
        <v>13</v>
      </c>
      <c r="I3" s="13">
        <v>8</v>
      </c>
      <c r="J3" s="14">
        <v>35.520000000000003</v>
      </c>
    </row>
    <row r="4" spans="1:10" x14ac:dyDescent="0.2">
      <c r="A4" s="1">
        <v>4.1666666666666664E-2</v>
      </c>
      <c r="B4" s="13">
        <f>'[1]HR MET BASAL'!E6</f>
        <v>58.5</v>
      </c>
      <c r="C4" s="13">
        <v>0</v>
      </c>
      <c r="D4" s="13">
        <v>247</v>
      </c>
      <c r="E4" s="13">
        <v>223</v>
      </c>
      <c r="F4" s="14">
        <v>0.9</v>
      </c>
      <c r="G4" s="14">
        <v>3.7</v>
      </c>
      <c r="H4" s="13">
        <v>20</v>
      </c>
      <c r="I4" s="13">
        <v>8</v>
      </c>
      <c r="J4" s="14">
        <v>32.93</v>
      </c>
    </row>
    <row r="5" spans="1:10" x14ac:dyDescent="0.2">
      <c r="A5" s="1">
        <v>5.5555555555555601E-2</v>
      </c>
      <c r="B5" s="13">
        <f>'[1]HR MET BASAL'!E7</f>
        <v>59.6</v>
      </c>
      <c r="C5" s="13">
        <v>0</v>
      </c>
      <c r="D5" s="13">
        <v>268</v>
      </c>
      <c r="E5" s="13">
        <v>248</v>
      </c>
      <c r="F5" s="14">
        <v>0.93</v>
      </c>
      <c r="G5" s="14">
        <v>4</v>
      </c>
      <c r="H5" s="13">
        <v>26</v>
      </c>
      <c r="I5" s="13">
        <v>10</v>
      </c>
      <c r="J5" s="14">
        <v>30.81</v>
      </c>
    </row>
    <row r="6" spans="1:10" x14ac:dyDescent="0.2">
      <c r="A6" s="1">
        <v>6.9444444444444503E-2</v>
      </c>
      <c r="B6" s="13">
        <f>'[1]HR MET BASAL'!E8</f>
        <v>60.05</v>
      </c>
      <c r="C6" s="13">
        <v>0</v>
      </c>
      <c r="D6" s="13">
        <v>226</v>
      </c>
      <c r="E6" s="13">
        <v>209</v>
      </c>
      <c r="F6" s="14">
        <v>0.92</v>
      </c>
      <c r="G6" s="14">
        <v>3.4</v>
      </c>
      <c r="H6" s="13">
        <v>29</v>
      </c>
      <c r="I6" s="13">
        <v>9</v>
      </c>
      <c r="J6" s="14">
        <v>29.66</v>
      </c>
    </row>
    <row r="7" spans="1:10" x14ac:dyDescent="0.2">
      <c r="A7" s="1">
        <v>8.3333333333333301E-2</v>
      </c>
      <c r="B7" s="13">
        <f>'[1]HR MET BASAL'!E9</f>
        <v>59.05</v>
      </c>
      <c r="C7" s="13">
        <v>0</v>
      </c>
      <c r="D7" s="13">
        <v>226</v>
      </c>
      <c r="E7" s="13">
        <v>230</v>
      </c>
      <c r="F7" s="13">
        <v>1.02</v>
      </c>
      <c r="G7" s="14">
        <v>3.4</v>
      </c>
      <c r="H7" s="13">
        <v>15</v>
      </c>
      <c r="I7" s="13">
        <v>8</v>
      </c>
      <c r="J7" s="14">
        <v>33.64</v>
      </c>
    </row>
    <row r="8" spans="1:10" x14ac:dyDescent="0.2">
      <c r="A8" s="1">
        <v>9.7222222222222196E-2</v>
      </c>
      <c r="B8" s="13">
        <f>'[1]HR MET BASAL'!E10</f>
        <v>59.35</v>
      </c>
      <c r="C8" s="13">
        <v>0</v>
      </c>
      <c r="D8" s="13">
        <v>292</v>
      </c>
      <c r="E8" s="13">
        <v>284</v>
      </c>
      <c r="F8" s="14">
        <v>0.97</v>
      </c>
      <c r="G8" s="14">
        <v>4.3</v>
      </c>
      <c r="H8" s="13">
        <v>14</v>
      </c>
      <c r="I8" s="13">
        <v>9</v>
      </c>
      <c r="J8" s="14">
        <v>35.770000000000003</v>
      </c>
    </row>
    <row r="9" spans="1:10" x14ac:dyDescent="0.2">
      <c r="A9" s="1">
        <v>0.11111111111111099</v>
      </c>
      <c r="B9" s="13">
        <f>'[1]HR MET BASAL'!E11</f>
        <v>61.15</v>
      </c>
      <c r="C9" s="13">
        <v>0</v>
      </c>
      <c r="D9" s="13">
        <v>208</v>
      </c>
      <c r="E9" s="13">
        <v>205</v>
      </c>
      <c r="F9" s="14">
        <v>0.99</v>
      </c>
      <c r="G9" s="14">
        <v>3.1</v>
      </c>
      <c r="H9" s="13">
        <v>12</v>
      </c>
      <c r="I9" s="13">
        <v>7</v>
      </c>
      <c r="J9" s="14">
        <v>35.119999999999997</v>
      </c>
    </row>
    <row r="10" spans="1:10" x14ac:dyDescent="0.2">
      <c r="A10" s="1">
        <v>0.125</v>
      </c>
      <c r="B10" s="13">
        <f>'[1]HR MET BASAL'!E12</f>
        <v>62</v>
      </c>
      <c r="C10" s="13">
        <v>0</v>
      </c>
      <c r="D10" s="13">
        <v>226</v>
      </c>
      <c r="E10" s="13">
        <v>201</v>
      </c>
      <c r="F10" s="14">
        <v>0.89</v>
      </c>
      <c r="G10" s="14">
        <v>3.4</v>
      </c>
      <c r="H10" s="13">
        <v>16</v>
      </c>
      <c r="I10" s="13">
        <v>7</v>
      </c>
      <c r="J10" s="14">
        <v>33.450000000000003</v>
      </c>
    </row>
    <row r="11" spans="1:10" x14ac:dyDescent="0.2">
      <c r="A11" s="1">
        <v>0.13888888888888901</v>
      </c>
      <c r="B11" s="13">
        <f>'[1]HR MET BASAL'!E13</f>
        <v>62.1</v>
      </c>
      <c r="C11" s="13">
        <v>0</v>
      </c>
      <c r="D11" s="13">
        <v>243</v>
      </c>
      <c r="E11" s="13">
        <v>216</v>
      </c>
      <c r="F11" s="14">
        <v>0.89</v>
      </c>
      <c r="G11" s="14">
        <v>3.6</v>
      </c>
      <c r="H11" s="13">
        <v>17</v>
      </c>
      <c r="I11" s="13">
        <v>8</v>
      </c>
      <c r="J11" s="14">
        <v>33.049999999999997</v>
      </c>
    </row>
    <row r="12" spans="1:10" x14ac:dyDescent="0.2">
      <c r="A12" s="1">
        <v>0.15277777777777801</v>
      </c>
      <c r="B12" s="13">
        <f>'[1]HR MET BASAL'!E14</f>
        <v>63.9</v>
      </c>
      <c r="C12" s="13">
        <v>0</v>
      </c>
      <c r="D12" s="13">
        <v>218</v>
      </c>
      <c r="E12" s="13">
        <v>190</v>
      </c>
      <c r="F12" s="14">
        <v>0.87</v>
      </c>
      <c r="G12" s="14">
        <v>3.2</v>
      </c>
      <c r="H12" s="13">
        <v>19</v>
      </c>
      <c r="I12" s="13">
        <v>8</v>
      </c>
      <c r="J12" s="14">
        <v>32.21</v>
      </c>
    </row>
    <row r="13" spans="1:10" x14ac:dyDescent="0.2">
      <c r="A13" s="1">
        <v>0.16666666666666699</v>
      </c>
      <c r="B13" s="13">
        <f>'[1]HR MET BASAL'!E15</f>
        <v>62.55</v>
      </c>
      <c r="C13" s="13">
        <v>0</v>
      </c>
      <c r="D13" s="13">
        <v>253</v>
      </c>
      <c r="E13" s="13">
        <v>217</v>
      </c>
      <c r="F13" s="14">
        <v>0.86</v>
      </c>
      <c r="G13" s="14">
        <v>3.8</v>
      </c>
      <c r="H13" s="13">
        <v>17</v>
      </c>
      <c r="I13" s="13">
        <v>8</v>
      </c>
      <c r="J13" s="14">
        <v>33.450000000000003</v>
      </c>
    </row>
    <row r="14" spans="1:10" x14ac:dyDescent="0.2">
      <c r="A14" s="1">
        <v>0.180555555555556</v>
      </c>
      <c r="B14" s="13">
        <f>'[1]HR MET BASAL'!E16</f>
        <v>60.6</v>
      </c>
      <c r="C14" s="13">
        <v>0</v>
      </c>
      <c r="D14" s="13">
        <v>285</v>
      </c>
      <c r="E14" s="13">
        <v>274</v>
      </c>
      <c r="F14" s="14">
        <v>0.96</v>
      </c>
      <c r="G14" s="14">
        <v>4.2</v>
      </c>
      <c r="H14" s="13">
        <v>13</v>
      </c>
      <c r="I14" s="13">
        <v>9</v>
      </c>
      <c r="J14" s="14">
        <v>34.590000000000003</v>
      </c>
    </row>
    <row r="15" spans="1:10" x14ac:dyDescent="0.2">
      <c r="A15" s="1">
        <v>0.194444444444445</v>
      </c>
      <c r="B15" s="13">
        <f>'[1]HR MET BASAL'!E17</f>
        <v>61</v>
      </c>
      <c r="C15" s="13">
        <v>0</v>
      </c>
      <c r="D15" s="13">
        <v>218</v>
      </c>
      <c r="E15" s="13">
        <v>213</v>
      </c>
      <c r="F15" s="14">
        <v>0.98</v>
      </c>
      <c r="G15" s="14">
        <v>3.2</v>
      </c>
      <c r="H15" s="13">
        <v>11</v>
      </c>
      <c r="I15" s="13">
        <v>7</v>
      </c>
      <c r="J15" s="14">
        <v>35.49</v>
      </c>
    </row>
    <row r="16" spans="1:10" x14ac:dyDescent="0.2">
      <c r="A16" s="1">
        <v>0.20833333333333301</v>
      </c>
      <c r="B16" s="13">
        <f>'[1]HR MET BASAL'!E18</f>
        <v>60.95</v>
      </c>
      <c r="C16" s="13">
        <v>0</v>
      </c>
      <c r="D16" s="13">
        <v>240</v>
      </c>
      <c r="E16" s="13">
        <v>227</v>
      </c>
      <c r="F16" s="14">
        <v>0.95</v>
      </c>
      <c r="G16" s="14">
        <v>3.6</v>
      </c>
      <c r="H16" s="13">
        <v>12</v>
      </c>
      <c r="I16" s="13">
        <v>8</v>
      </c>
      <c r="J16" s="14">
        <v>35.67</v>
      </c>
    </row>
    <row r="17" spans="1:10" x14ac:dyDescent="0.2">
      <c r="A17" s="1">
        <v>0.22222222222222199</v>
      </c>
      <c r="B17" s="13">
        <f>'[1]HR MET BASAL'!E19</f>
        <v>61.95</v>
      </c>
      <c r="C17" s="13">
        <v>0</v>
      </c>
      <c r="D17" s="13">
        <v>223</v>
      </c>
      <c r="E17" s="13">
        <v>207</v>
      </c>
      <c r="F17" s="14">
        <v>0.93</v>
      </c>
      <c r="G17" s="14">
        <v>3.3</v>
      </c>
      <c r="H17" s="13">
        <v>11</v>
      </c>
      <c r="I17" s="13">
        <v>7</v>
      </c>
      <c r="J17" s="14">
        <v>36.200000000000003</v>
      </c>
    </row>
    <row r="18" spans="1:10" x14ac:dyDescent="0.2">
      <c r="A18" s="1">
        <v>0.23611111111111099</v>
      </c>
      <c r="B18" s="13">
        <f>'[1]HR MET BASAL'!E20</f>
        <v>61.75</v>
      </c>
      <c r="C18" s="13">
        <v>0</v>
      </c>
      <c r="D18" s="13">
        <v>220</v>
      </c>
      <c r="E18" s="13">
        <v>205</v>
      </c>
      <c r="F18" s="14">
        <v>0.93</v>
      </c>
      <c r="G18" s="14">
        <v>3.3</v>
      </c>
      <c r="H18" s="13">
        <v>10</v>
      </c>
      <c r="I18" s="13">
        <v>7</v>
      </c>
      <c r="J18" s="14">
        <v>35.61</v>
      </c>
    </row>
    <row r="19" spans="1:10" x14ac:dyDescent="0.2">
      <c r="A19" s="1">
        <v>0.25</v>
      </c>
      <c r="B19" s="13">
        <f>'[1]HR MET BASAL'!E21</f>
        <v>60.75</v>
      </c>
      <c r="C19" s="13">
        <v>0</v>
      </c>
      <c r="D19" s="13">
        <v>207</v>
      </c>
      <c r="E19" s="13">
        <v>193</v>
      </c>
      <c r="F19" s="14">
        <v>0.93</v>
      </c>
      <c r="G19" s="14">
        <v>3.1</v>
      </c>
      <c r="H19" s="13">
        <v>10</v>
      </c>
      <c r="I19" s="13">
        <v>6</v>
      </c>
      <c r="J19" s="14">
        <v>35.93</v>
      </c>
    </row>
    <row r="20" spans="1:10" x14ac:dyDescent="0.2">
      <c r="A20" s="1">
        <v>0.26388888888888901</v>
      </c>
      <c r="B20" s="13">
        <f>'[1]HR MET BASAL'!E22</f>
        <v>60.85</v>
      </c>
      <c r="C20" s="13">
        <v>0</v>
      </c>
      <c r="D20" s="13">
        <v>249</v>
      </c>
      <c r="E20" s="13">
        <v>240</v>
      </c>
      <c r="F20" s="14">
        <v>0.96</v>
      </c>
      <c r="G20" s="14">
        <v>3.7</v>
      </c>
      <c r="H20" s="13">
        <v>12</v>
      </c>
      <c r="I20" s="13">
        <v>8</v>
      </c>
      <c r="J20" s="14">
        <v>34.909999999999997</v>
      </c>
    </row>
    <row r="21" spans="1:10" x14ac:dyDescent="0.2">
      <c r="A21" s="1">
        <v>0.27777777777777801</v>
      </c>
      <c r="B21" s="13">
        <f>'[1]HR MET BASAL'!E23</f>
        <v>61.1</v>
      </c>
      <c r="C21" s="13">
        <v>0</v>
      </c>
      <c r="D21" s="13">
        <v>206</v>
      </c>
      <c r="E21" s="13">
        <v>193</v>
      </c>
      <c r="F21" s="14">
        <v>0.94</v>
      </c>
      <c r="G21" s="14">
        <v>3.1</v>
      </c>
      <c r="H21" s="13">
        <v>9</v>
      </c>
      <c r="I21" s="13">
        <v>6</v>
      </c>
      <c r="J21" s="14">
        <v>35.869999999999997</v>
      </c>
    </row>
    <row r="22" spans="1:10" x14ac:dyDescent="0.2">
      <c r="A22" s="1">
        <v>0.29166666666666702</v>
      </c>
      <c r="B22" s="13">
        <f>'[1]HR MET BASAL'!E24</f>
        <v>63.35</v>
      </c>
      <c r="C22" s="13">
        <v>0</v>
      </c>
      <c r="D22" s="13">
        <v>152</v>
      </c>
      <c r="E22" s="13">
        <v>140</v>
      </c>
      <c r="F22" s="14">
        <v>0.92</v>
      </c>
      <c r="G22" s="14">
        <v>2.2999999999999998</v>
      </c>
      <c r="H22" s="13">
        <v>11</v>
      </c>
      <c r="I22" s="13">
        <v>5</v>
      </c>
      <c r="J22" s="14">
        <v>35.04</v>
      </c>
    </row>
    <row r="23" spans="1:10" x14ac:dyDescent="0.2">
      <c r="A23" s="1">
        <v>0.30555555555555602</v>
      </c>
      <c r="B23" s="13">
        <f>'[1]HR MET BASAL'!E25</f>
        <v>64.5</v>
      </c>
      <c r="C23" s="13">
        <v>0</v>
      </c>
      <c r="D23" s="13">
        <v>225</v>
      </c>
      <c r="E23" s="13">
        <v>203</v>
      </c>
      <c r="F23" s="14">
        <v>0.9</v>
      </c>
      <c r="G23" s="14">
        <v>3.3</v>
      </c>
      <c r="H23" s="13">
        <v>11</v>
      </c>
      <c r="I23" s="13">
        <v>7</v>
      </c>
      <c r="J23" s="14">
        <v>35.450000000000003</v>
      </c>
    </row>
    <row r="24" spans="1:10" x14ac:dyDescent="0.2">
      <c r="A24" s="1">
        <v>0.31944444444444497</v>
      </c>
      <c r="B24" s="13">
        <f>'[1]HR MET BASAL'!E26</f>
        <v>64.25</v>
      </c>
      <c r="C24" s="13">
        <v>0</v>
      </c>
      <c r="D24" s="13">
        <v>228</v>
      </c>
      <c r="E24" s="13">
        <v>200</v>
      </c>
      <c r="F24" s="14">
        <v>0.88</v>
      </c>
      <c r="G24" s="14">
        <v>3.4</v>
      </c>
      <c r="H24" s="13">
        <v>11</v>
      </c>
      <c r="I24" s="13">
        <v>7</v>
      </c>
      <c r="J24" s="14">
        <v>35.36</v>
      </c>
    </row>
    <row r="25" spans="1:10" x14ac:dyDescent="0.2">
      <c r="A25" s="1">
        <v>0.33333333333333298</v>
      </c>
      <c r="B25" s="13">
        <f>'[1]HR MET BASAL'!E27</f>
        <v>62.3</v>
      </c>
      <c r="C25" s="13">
        <v>0</v>
      </c>
      <c r="D25" s="13">
        <v>278</v>
      </c>
      <c r="E25" s="13">
        <v>254</v>
      </c>
      <c r="F25" s="14">
        <v>0.91</v>
      </c>
      <c r="G25" s="14">
        <v>4.0999999999999996</v>
      </c>
      <c r="H25" s="13">
        <v>15</v>
      </c>
      <c r="I25" s="13">
        <v>9</v>
      </c>
      <c r="J25" s="14">
        <v>33.72</v>
      </c>
    </row>
    <row r="26" spans="1:10" x14ac:dyDescent="0.2">
      <c r="A26" s="1">
        <v>0.34722222222222199</v>
      </c>
      <c r="B26" s="13">
        <f>'[1]HR MET BASAL'!E28</f>
        <v>62</v>
      </c>
      <c r="C26" s="13">
        <v>0</v>
      </c>
      <c r="D26" s="13">
        <v>248</v>
      </c>
      <c r="E26" s="13">
        <v>221</v>
      </c>
      <c r="F26" s="14">
        <v>0.89</v>
      </c>
      <c r="G26" s="14">
        <v>3.7</v>
      </c>
      <c r="H26" s="13">
        <v>11</v>
      </c>
      <c r="I26" s="13">
        <v>7</v>
      </c>
      <c r="J26" s="14">
        <v>34.53</v>
      </c>
    </row>
    <row r="27" spans="1:10" x14ac:dyDescent="0.2">
      <c r="A27" s="1">
        <v>0.36111111111111099</v>
      </c>
      <c r="B27" s="13">
        <f>'[1]HR MET BASAL'!E29</f>
        <v>61.8</v>
      </c>
      <c r="C27" s="13">
        <v>0</v>
      </c>
      <c r="D27" s="13">
        <v>207</v>
      </c>
      <c r="E27" s="13">
        <v>194</v>
      </c>
      <c r="F27" s="14">
        <v>0.93</v>
      </c>
      <c r="G27" s="14">
        <v>3.1</v>
      </c>
      <c r="H27" s="13">
        <v>11</v>
      </c>
      <c r="I27" s="13">
        <v>7</v>
      </c>
      <c r="J27" s="14">
        <v>34.35</v>
      </c>
    </row>
    <row r="28" spans="1:10" x14ac:dyDescent="0.2">
      <c r="A28" s="1">
        <v>0.375</v>
      </c>
      <c r="B28" s="13">
        <f>'[1]HR MET BASAL'!E30</f>
        <v>62.9</v>
      </c>
      <c r="C28" s="13">
        <v>0</v>
      </c>
      <c r="D28" s="13">
        <v>185</v>
      </c>
      <c r="E28" s="13">
        <v>169</v>
      </c>
      <c r="F28" s="14">
        <v>0.92</v>
      </c>
      <c r="G28" s="14">
        <v>2.7</v>
      </c>
      <c r="H28" s="13">
        <v>14</v>
      </c>
      <c r="I28" s="13">
        <v>7</v>
      </c>
      <c r="J28" s="14">
        <v>33.81</v>
      </c>
    </row>
    <row r="29" spans="1:10" x14ac:dyDescent="0.2">
      <c r="A29" s="1">
        <v>0.38888888888888901</v>
      </c>
      <c r="B29" s="13">
        <f>'[1]HR MET BASAL'!E31</f>
        <v>62</v>
      </c>
      <c r="C29" s="13">
        <v>0</v>
      </c>
      <c r="D29" s="13">
        <v>203</v>
      </c>
      <c r="E29" s="13">
        <v>175</v>
      </c>
      <c r="F29" s="14">
        <v>0.86</v>
      </c>
      <c r="G29" s="14">
        <v>3</v>
      </c>
      <c r="H29" s="13">
        <v>11</v>
      </c>
      <c r="I29" s="13">
        <v>6</v>
      </c>
      <c r="J29" s="14">
        <v>34.71</v>
      </c>
    </row>
    <row r="30" spans="1:10" x14ac:dyDescent="0.2">
      <c r="A30" s="1">
        <v>0.40277777777777801</v>
      </c>
      <c r="B30" s="13">
        <f>'[1]HR MET BASAL'!E32</f>
        <v>60.75</v>
      </c>
      <c r="C30" s="13">
        <v>0</v>
      </c>
      <c r="D30" s="13">
        <v>246</v>
      </c>
      <c r="E30" s="13">
        <v>222</v>
      </c>
      <c r="F30" s="14">
        <v>0.9</v>
      </c>
      <c r="G30" s="14">
        <v>3.7</v>
      </c>
      <c r="H30" s="13">
        <v>12</v>
      </c>
      <c r="I30" s="13">
        <v>8</v>
      </c>
      <c r="J30" s="14">
        <v>35.049999999999997</v>
      </c>
    </row>
    <row r="31" spans="1:10" x14ac:dyDescent="0.2">
      <c r="A31" s="1">
        <v>0.41666666666666702</v>
      </c>
      <c r="B31" s="13">
        <f>'[1]HR MET BASAL'!E33</f>
        <v>60.9</v>
      </c>
      <c r="C31" s="13">
        <v>0</v>
      </c>
      <c r="D31" s="13">
        <v>217</v>
      </c>
      <c r="E31" s="13">
        <v>216</v>
      </c>
      <c r="F31" s="14">
        <v>1</v>
      </c>
      <c r="G31" s="14">
        <v>3.2</v>
      </c>
      <c r="H31" s="13">
        <v>9</v>
      </c>
      <c r="I31" s="13">
        <v>7</v>
      </c>
      <c r="J31" s="14">
        <v>35.33</v>
      </c>
    </row>
    <row r="32" spans="1:10" x14ac:dyDescent="0.2">
      <c r="A32" s="1">
        <v>0.43055555555555602</v>
      </c>
      <c r="B32" s="13">
        <f>'[1]HR MET BASAL'!E34</f>
        <v>62.15</v>
      </c>
      <c r="C32" s="13">
        <v>0</v>
      </c>
      <c r="D32" s="13">
        <v>222</v>
      </c>
      <c r="E32" s="13">
        <v>188</v>
      </c>
      <c r="F32" s="14">
        <v>0.85</v>
      </c>
      <c r="G32" s="14">
        <v>3.3</v>
      </c>
      <c r="H32" s="13">
        <v>12</v>
      </c>
      <c r="I32" s="13">
        <v>7</v>
      </c>
      <c r="J32" s="14">
        <v>33.56</v>
      </c>
    </row>
    <row r="33" spans="1:10" x14ac:dyDescent="0.2">
      <c r="A33" s="1">
        <v>0.44444444444444497</v>
      </c>
      <c r="B33" s="13">
        <f>'[1]HR MET BASAL'!E35</f>
        <v>62.35</v>
      </c>
      <c r="C33" s="13">
        <v>0</v>
      </c>
      <c r="D33" s="13">
        <v>218</v>
      </c>
      <c r="E33" s="13">
        <v>213</v>
      </c>
      <c r="F33" s="14">
        <v>0.98</v>
      </c>
      <c r="G33" s="14">
        <v>3.2</v>
      </c>
      <c r="H33" s="13">
        <v>9</v>
      </c>
      <c r="I33" s="13">
        <v>7</v>
      </c>
      <c r="J33" s="14">
        <v>33.479999999999997</v>
      </c>
    </row>
    <row r="34" spans="1:10" x14ac:dyDescent="0.2">
      <c r="A34" s="1">
        <v>0.45833333333333298</v>
      </c>
      <c r="B34" s="13">
        <f>'[1]HR MET BASAL'!E36</f>
        <v>63.85</v>
      </c>
      <c r="C34" s="13">
        <v>0</v>
      </c>
      <c r="D34" s="13">
        <v>233</v>
      </c>
      <c r="E34" s="13">
        <v>200</v>
      </c>
      <c r="F34" s="14">
        <v>0.86</v>
      </c>
      <c r="G34" s="14">
        <v>3.5</v>
      </c>
      <c r="H34" s="13">
        <v>12</v>
      </c>
      <c r="I34" s="13">
        <v>7</v>
      </c>
      <c r="J34" s="14">
        <v>33.26</v>
      </c>
    </row>
    <row r="35" spans="1:10" x14ac:dyDescent="0.2">
      <c r="A35" s="1">
        <v>0.47222222222222199</v>
      </c>
      <c r="B35" s="13">
        <f>'[1]HR MET BASAL'!E37</f>
        <v>65.400000000000006</v>
      </c>
      <c r="C35" s="13">
        <v>0</v>
      </c>
      <c r="D35" s="13">
        <v>158</v>
      </c>
      <c r="E35" s="13">
        <v>130</v>
      </c>
      <c r="F35" s="14">
        <v>0.82</v>
      </c>
      <c r="G35" s="14">
        <v>2.2999999999999998</v>
      </c>
      <c r="H35" s="13">
        <v>11</v>
      </c>
      <c r="I35" s="13">
        <v>5</v>
      </c>
      <c r="J35" s="14">
        <v>32.72</v>
      </c>
    </row>
    <row r="36" spans="1:10" x14ac:dyDescent="0.2">
      <c r="A36" s="1">
        <v>0.48611111111111099</v>
      </c>
      <c r="B36" s="13">
        <f>'[1]HR MET BASAL'!E38</f>
        <v>63.4</v>
      </c>
      <c r="C36" s="13">
        <v>0</v>
      </c>
      <c r="D36" s="13">
        <v>182</v>
      </c>
      <c r="E36" s="13">
        <v>142</v>
      </c>
      <c r="F36" s="14">
        <v>0.78</v>
      </c>
      <c r="G36" s="14">
        <v>2.7</v>
      </c>
      <c r="H36" s="13">
        <v>11</v>
      </c>
      <c r="I36" s="13">
        <v>5</v>
      </c>
      <c r="J36" s="14">
        <v>34.72</v>
      </c>
    </row>
    <row r="37" spans="1:10" x14ac:dyDescent="0.2">
      <c r="A37" s="1">
        <v>0.5</v>
      </c>
      <c r="B37" s="13">
        <f>'[1]HR MET BASAL'!E39</f>
        <v>64.599999999999994</v>
      </c>
      <c r="C37" s="13">
        <v>0</v>
      </c>
      <c r="D37" s="13">
        <v>212</v>
      </c>
      <c r="E37" s="13">
        <v>155</v>
      </c>
      <c r="F37" s="14">
        <v>0.73</v>
      </c>
      <c r="G37" s="14">
        <v>3.1</v>
      </c>
      <c r="H37" s="13">
        <v>10</v>
      </c>
      <c r="I37" s="13">
        <v>5</v>
      </c>
      <c r="J37" s="14">
        <v>34.92</v>
      </c>
    </row>
    <row r="38" spans="1:10" x14ac:dyDescent="0.2">
      <c r="A38" s="1">
        <v>0.51388888888888895</v>
      </c>
      <c r="B38" s="13">
        <f>'[1]HR MET BASAL'!E40</f>
        <v>64.25</v>
      </c>
      <c r="C38" s="13">
        <v>0</v>
      </c>
      <c r="D38" s="13">
        <v>205</v>
      </c>
      <c r="E38" s="13">
        <v>143</v>
      </c>
      <c r="F38" s="14">
        <v>0.7</v>
      </c>
      <c r="G38" s="14">
        <v>3</v>
      </c>
      <c r="H38" s="13">
        <v>12</v>
      </c>
      <c r="I38" s="13">
        <v>5</v>
      </c>
      <c r="J38" s="14">
        <v>35.49</v>
      </c>
    </row>
    <row r="39" spans="1:10" x14ac:dyDescent="0.2">
      <c r="A39" s="1">
        <v>0.52777777777777801</v>
      </c>
      <c r="B39" s="13">
        <f>'[1]HR MET BASAL'!E41</f>
        <v>65.599999999999994</v>
      </c>
      <c r="C39" s="13">
        <v>0</v>
      </c>
      <c r="D39" s="13">
        <v>241</v>
      </c>
      <c r="E39" s="13">
        <v>167</v>
      </c>
      <c r="F39" s="14">
        <v>0.69</v>
      </c>
      <c r="G39" s="14">
        <v>3.6</v>
      </c>
      <c r="H39" s="13">
        <v>17</v>
      </c>
      <c r="I39" s="13">
        <v>6</v>
      </c>
      <c r="J39" s="14">
        <v>32.47</v>
      </c>
    </row>
    <row r="40" spans="1:10" x14ac:dyDescent="0.2">
      <c r="A40" s="1">
        <v>0.54166666666666696</v>
      </c>
      <c r="B40" s="13">
        <f>'[1]HR MET BASAL'!E42</f>
        <v>69.25</v>
      </c>
      <c r="C40" s="13">
        <v>0</v>
      </c>
      <c r="D40" s="13">
        <v>256</v>
      </c>
      <c r="E40" s="13">
        <v>202</v>
      </c>
      <c r="F40" s="14">
        <v>0.79</v>
      </c>
      <c r="G40" s="14">
        <v>3.8</v>
      </c>
      <c r="H40" s="13">
        <v>13</v>
      </c>
      <c r="I40" s="13">
        <v>7</v>
      </c>
      <c r="J40" s="14">
        <v>35.04</v>
      </c>
    </row>
    <row r="41" spans="1:10" x14ac:dyDescent="0.2">
      <c r="A41" s="1">
        <v>0.55555555555555602</v>
      </c>
      <c r="B41" s="13">
        <f>'[1]HR MET BASAL'!E43</f>
        <v>66.8</v>
      </c>
      <c r="C41" s="13">
        <v>0</v>
      </c>
      <c r="D41" s="13">
        <v>210</v>
      </c>
      <c r="E41" s="13">
        <v>170</v>
      </c>
      <c r="F41" s="14">
        <v>0.81</v>
      </c>
      <c r="G41" s="14">
        <v>3.1</v>
      </c>
      <c r="H41" s="13">
        <v>10</v>
      </c>
      <c r="I41" s="13">
        <v>6</v>
      </c>
      <c r="J41" s="14">
        <v>35.68</v>
      </c>
    </row>
    <row r="42" spans="1:10" x14ac:dyDescent="0.2">
      <c r="A42" s="1">
        <v>0.56944444444444497</v>
      </c>
      <c r="B42" s="13">
        <f>'[1]HR MET BASAL'!E44</f>
        <v>64.099999999999994</v>
      </c>
      <c r="C42" s="13">
        <v>0</v>
      </c>
      <c r="D42" s="13">
        <v>205</v>
      </c>
      <c r="E42" s="13">
        <v>175</v>
      </c>
      <c r="F42" s="14">
        <v>0.86</v>
      </c>
      <c r="G42" s="14">
        <v>3</v>
      </c>
      <c r="H42" s="13">
        <v>10</v>
      </c>
      <c r="I42" s="13">
        <v>6</v>
      </c>
      <c r="J42" s="14">
        <v>35.619999999999997</v>
      </c>
    </row>
    <row r="43" spans="1:10" x14ac:dyDescent="0.2">
      <c r="A43" s="1">
        <v>0.58333333333333304</v>
      </c>
      <c r="B43" s="13">
        <f>'[1]HR MET BASAL'!E45</f>
        <v>64.150000000000006</v>
      </c>
      <c r="C43" s="13">
        <v>0</v>
      </c>
      <c r="D43" s="13">
        <v>198</v>
      </c>
      <c r="E43" s="13">
        <v>159</v>
      </c>
      <c r="F43" s="14">
        <v>0.8</v>
      </c>
      <c r="G43" s="14">
        <v>2.9</v>
      </c>
      <c r="H43" s="13">
        <v>11</v>
      </c>
      <c r="I43" s="13">
        <v>6</v>
      </c>
      <c r="J43" s="14">
        <v>34.590000000000003</v>
      </c>
    </row>
    <row r="44" spans="1:10" x14ac:dyDescent="0.2">
      <c r="A44" s="1">
        <v>0.59722222222222199</v>
      </c>
      <c r="B44" s="13">
        <f>'[1]HR MET BASAL'!E46</f>
        <v>63.3</v>
      </c>
      <c r="C44" s="13">
        <v>0</v>
      </c>
      <c r="D44" s="13">
        <v>217</v>
      </c>
      <c r="E44" s="13">
        <v>176</v>
      </c>
      <c r="F44" s="14">
        <v>0.81</v>
      </c>
      <c r="G44" s="14">
        <v>3.2</v>
      </c>
      <c r="H44" s="13">
        <v>10</v>
      </c>
      <c r="I44" s="13">
        <v>6</v>
      </c>
      <c r="J44" s="14">
        <v>35.81</v>
      </c>
    </row>
    <row r="45" spans="1:10" x14ac:dyDescent="0.2">
      <c r="A45" s="1">
        <v>0.61111111111111105</v>
      </c>
      <c r="B45" s="13">
        <f>'[1]HR MET BASAL'!E47</f>
        <v>62.8</v>
      </c>
      <c r="C45" s="13">
        <v>0</v>
      </c>
      <c r="D45" s="13">
        <v>198</v>
      </c>
      <c r="E45" s="13">
        <v>154</v>
      </c>
      <c r="F45" s="14">
        <v>0.78</v>
      </c>
      <c r="G45" s="14">
        <v>2.9</v>
      </c>
      <c r="H45" s="13">
        <v>9</v>
      </c>
      <c r="I45" s="13">
        <v>5</v>
      </c>
      <c r="J45" s="14">
        <v>34.729999999999997</v>
      </c>
    </row>
    <row r="46" spans="1:10" x14ac:dyDescent="0.2">
      <c r="A46" s="1">
        <v>0.625</v>
      </c>
      <c r="B46" s="13">
        <f>'[1]HR MET BASAL'!E48</f>
        <v>63.45</v>
      </c>
      <c r="C46" s="13">
        <v>0</v>
      </c>
      <c r="D46" s="13">
        <v>228</v>
      </c>
      <c r="E46" s="13">
        <v>183</v>
      </c>
      <c r="F46" s="14">
        <v>0.8</v>
      </c>
      <c r="G46" s="14">
        <v>3.4</v>
      </c>
      <c r="H46" s="13">
        <v>11</v>
      </c>
      <c r="I46" s="13">
        <v>6</v>
      </c>
      <c r="J46" s="14">
        <v>35.35</v>
      </c>
    </row>
    <row r="47" spans="1:10" x14ac:dyDescent="0.2">
      <c r="A47" s="1">
        <v>0.63888888888888895</v>
      </c>
      <c r="B47" s="13">
        <f>'[1]HR MET BASAL'!E49</f>
        <v>64.75</v>
      </c>
      <c r="C47" s="13">
        <v>0</v>
      </c>
      <c r="D47" s="13">
        <v>195</v>
      </c>
      <c r="E47" s="13">
        <v>154</v>
      </c>
      <c r="F47" s="14">
        <v>0.79</v>
      </c>
      <c r="G47" s="14">
        <v>2.9</v>
      </c>
      <c r="H47" s="13">
        <v>10</v>
      </c>
      <c r="I47" s="13">
        <v>5</v>
      </c>
      <c r="J47" s="14">
        <v>35.22</v>
      </c>
    </row>
    <row r="48" spans="1:10" x14ac:dyDescent="0.2">
      <c r="A48" s="1">
        <v>0.65277777777777801</v>
      </c>
      <c r="B48" s="13">
        <f>'[1]HR MET BASAL'!E50</f>
        <v>64.099999999999994</v>
      </c>
      <c r="C48" s="13">
        <v>0</v>
      </c>
      <c r="D48" s="13">
        <v>260</v>
      </c>
      <c r="E48" s="13">
        <v>197</v>
      </c>
      <c r="F48" s="14">
        <v>0.76</v>
      </c>
      <c r="G48" s="14">
        <v>3.9</v>
      </c>
      <c r="H48" s="13">
        <v>13</v>
      </c>
      <c r="I48" s="13">
        <v>7</v>
      </c>
      <c r="J48" s="14">
        <v>32.380000000000003</v>
      </c>
    </row>
    <row r="49" spans="1:10" x14ac:dyDescent="0.2">
      <c r="A49" s="1">
        <v>0.66666666666666696</v>
      </c>
      <c r="B49" s="13">
        <f>'[1]HR MET BASAL'!E51</f>
        <v>63.15</v>
      </c>
      <c r="C49" s="13">
        <v>0</v>
      </c>
      <c r="D49" s="13">
        <v>174</v>
      </c>
      <c r="E49" s="13">
        <v>160</v>
      </c>
      <c r="F49" s="14">
        <v>0.92</v>
      </c>
      <c r="G49" s="14">
        <v>2.6</v>
      </c>
      <c r="H49" s="13">
        <v>12</v>
      </c>
      <c r="I49" s="13">
        <v>5</v>
      </c>
      <c r="J49" s="14">
        <v>34.46</v>
      </c>
    </row>
    <row r="50" spans="1:10" x14ac:dyDescent="0.2">
      <c r="A50" s="1">
        <v>0.68055555555555602</v>
      </c>
      <c r="B50" s="13">
        <f>'[1]HR MET BASAL'!E52</f>
        <v>62</v>
      </c>
      <c r="C50" s="13">
        <v>0</v>
      </c>
      <c r="D50" s="13">
        <v>246</v>
      </c>
      <c r="E50" s="13">
        <v>209</v>
      </c>
      <c r="F50" s="14">
        <v>0.85</v>
      </c>
      <c r="G50" s="14">
        <v>3.7</v>
      </c>
      <c r="H50" s="13">
        <v>8</v>
      </c>
      <c r="I50" s="13">
        <v>7</v>
      </c>
      <c r="J50" s="14">
        <v>35.69</v>
      </c>
    </row>
    <row r="51" spans="1:10" x14ac:dyDescent="0.2">
      <c r="A51" s="1">
        <v>0.69444444444444398</v>
      </c>
      <c r="B51" s="13">
        <f>'[1]HR MET BASAL'!E53</f>
        <v>62.45</v>
      </c>
      <c r="C51" s="13">
        <v>0</v>
      </c>
      <c r="D51" s="13">
        <v>198</v>
      </c>
      <c r="E51" s="13">
        <v>155</v>
      </c>
      <c r="F51" s="14">
        <v>0.79</v>
      </c>
      <c r="G51" s="14">
        <v>2.9</v>
      </c>
      <c r="H51" s="13">
        <v>9</v>
      </c>
      <c r="I51" s="13">
        <v>5</v>
      </c>
      <c r="J51" s="14">
        <v>35.9</v>
      </c>
    </row>
    <row r="52" spans="1:10" x14ac:dyDescent="0.2">
      <c r="A52" s="1">
        <v>0.70833333333333304</v>
      </c>
      <c r="B52" s="13">
        <f>'[1]HR MET BASAL'!E54</f>
        <v>63.7</v>
      </c>
      <c r="C52" s="13">
        <v>0</v>
      </c>
      <c r="D52" s="13">
        <v>197</v>
      </c>
      <c r="E52" s="13">
        <v>162</v>
      </c>
      <c r="F52" s="14">
        <v>0.82</v>
      </c>
      <c r="G52" s="14">
        <v>2.9</v>
      </c>
      <c r="H52" s="13">
        <v>10</v>
      </c>
      <c r="I52" s="13">
        <v>5</v>
      </c>
      <c r="J52" s="14">
        <v>34.4</v>
      </c>
    </row>
    <row r="53" spans="1:10" x14ac:dyDescent="0.2">
      <c r="A53" s="1">
        <v>0.72222222222222199</v>
      </c>
      <c r="B53" s="13">
        <f>'[1]HR MET BASAL'!E55</f>
        <v>64.349999999999994</v>
      </c>
      <c r="C53" s="13">
        <v>0</v>
      </c>
      <c r="D53" s="13">
        <v>170</v>
      </c>
      <c r="E53" s="13">
        <v>136</v>
      </c>
      <c r="F53" s="14">
        <v>0.8</v>
      </c>
      <c r="G53" s="14">
        <v>2.5</v>
      </c>
      <c r="H53" s="13">
        <v>11</v>
      </c>
      <c r="I53" s="13">
        <v>5</v>
      </c>
      <c r="J53" s="14">
        <v>33.76</v>
      </c>
    </row>
    <row r="54" spans="1:10" x14ac:dyDescent="0.2">
      <c r="A54" s="1">
        <v>0.73611111111111105</v>
      </c>
      <c r="B54" s="13">
        <f>'[1]HR MET BASAL'!E56</f>
        <v>64.400000000000006</v>
      </c>
      <c r="C54" s="13">
        <v>0</v>
      </c>
      <c r="D54" s="13">
        <v>202</v>
      </c>
      <c r="E54" s="13">
        <v>158</v>
      </c>
      <c r="F54" s="14">
        <v>0.78</v>
      </c>
      <c r="G54" s="14">
        <v>3</v>
      </c>
      <c r="H54" s="13">
        <v>12</v>
      </c>
      <c r="I54" s="13">
        <v>6</v>
      </c>
      <c r="J54" s="14">
        <v>34.61</v>
      </c>
    </row>
    <row r="55" spans="1:10" x14ac:dyDescent="0.2">
      <c r="A55" s="1">
        <v>0.75</v>
      </c>
      <c r="B55" s="13">
        <f>'[1]HR MET BASAL'!E57</f>
        <v>65.7</v>
      </c>
      <c r="C55" s="13">
        <v>0</v>
      </c>
      <c r="D55" s="13">
        <v>213</v>
      </c>
      <c r="E55" s="13">
        <v>162</v>
      </c>
      <c r="F55" s="14">
        <v>0.76</v>
      </c>
      <c r="G55" s="14">
        <v>3.2</v>
      </c>
      <c r="H55" s="13">
        <v>17</v>
      </c>
      <c r="I55" s="13">
        <v>6</v>
      </c>
      <c r="J55" s="14">
        <v>30.93</v>
      </c>
    </row>
    <row r="56" spans="1:10" x14ac:dyDescent="0.2">
      <c r="A56" s="1">
        <v>0.76388888888888895</v>
      </c>
      <c r="B56" s="13">
        <f>'[1]HR MET BASAL'!E58</f>
        <v>64</v>
      </c>
      <c r="C56" s="13">
        <v>0</v>
      </c>
      <c r="D56" s="13">
        <v>226</v>
      </c>
      <c r="E56" s="13">
        <v>165</v>
      </c>
      <c r="F56" s="14">
        <v>0.73</v>
      </c>
      <c r="G56" s="14">
        <v>3.4</v>
      </c>
      <c r="H56" s="13">
        <v>18</v>
      </c>
      <c r="I56" s="13">
        <v>6</v>
      </c>
      <c r="J56" s="14">
        <v>31.44</v>
      </c>
    </row>
    <row r="57" spans="1:10" x14ac:dyDescent="0.2">
      <c r="A57" s="1">
        <v>0.77777777777777801</v>
      </c>
      <c r="B57" s="13">
        <f>'[1]HR MET BASAL'!E59</f>
        <v>62.05</v>
      </c>
      <c r="C57" s="13">
        <v>0</v>
      </c>
      <c r="D57" s="13">
        <v>206</v>
      </c>
      <c r="E57" s="13">
        <v>139</v>
      </c>
      <c r="F57" s="14">
        <v>0.68</v>
      </c>
      <c r="G57" s="14">
        <v>3.1</v>
      </c>
      <c r="H57" s="13">
        <v>16</v>
      </c>
      <c r="I57" s="13">
        <v>5</v>
      </c>
      <c r="J57" s="14">
        <v>32.549999999999997</v>
      </c>
    </row>
    <row r="58" spans="1:10" x14ac:dyDescent="0.2">
      <c r="A58" s="1">
        <v>0.79166666666666696</v>
      </c>
      <c r="B58" s="13">
        <f>'[1]HR MET BASAL'!E60</f>
        <v>62.45</v>
      </c>
      <c r="C58" s="13">
        <v>0</v>
      </c>
      <c r="D58" s="13">
        <v>267</v>
      </c>
      <c r="E58" s="13">
        <v>208</v>
      </c>
      <c r="F58" s="14">
        <v>0.78</v>
      </c>
      <c r="G58" s="14">
        <v>4</v>
      </c>
      <c r="H58" s="13">
        <v>16</v>
      </c>
      <c r="I58" s="13">
        <v>7</v>
      </c>
      <c r="J58" s="14">
        <v>33.840000000000003</v>
      </c>
    </row>
    <row r="59" spans="1:10" x14ac:dyDescent="0.2">
      <c r="A59" s="1">
        <v>0.80555555555555602</v>
      </c>
      <c r="B59" s="13">
        <f>'[1]HR MET BASAL'!E61</f>
        <v>61.1</v>
      </c>
      <c r="C59" s="13">
        <v>0</v>
      </c>
      <c r="D59" s="13">
        <v>259</v>
      </c>
      <c r="E59" s="13">
        <v>215</v>
      </c>
      <c r="F59" s="14">
        <v>0.83</v>
      </c>
      <c r="G59" s="14">
        <v>3.8</v>
      </c>
      <c r="H59" s="13">
        <v>14</v>
      </c>
      <c r="I59" s="13">
        <v>8</v>
      </c>
      <c r="J59" s="14">
        <v>34.04</v>
      </c>
    </row>
    <row r="60" spans="1:10" x14ac:dyDescent="0.2">
      <c r="A60" s="1">
        <v>0.81944444444444398</v>
      </c>
      <c r="B60" s="13">
        <f>'[1]HR MET BASAL'!E62</f>
        <v>62.45</v>
      </c>
      <c r="C60" s="13">
        <v>0</v>
      </c>
      <c r="D60" s="13">
        <v>244</v>
      </c>
      <c r="E60" s="13">
        <v>204</v>
      </c>
      <c r="F60" s="14">
        <v>0.84</v>
      </c>
      <c r="G60" s="14">
        <v>3.6</v>
      </c>
      <c r="H60" s="13">
        <v>13</v>
      </c>
      <c r="I60" s="13">
        <v>7</v>
      </c>
      <c r="J60" s="14">
        <v>33.89</v>
      </c>
    </row>
    <row r="61" spans="1:10" x14ac:dyDescent="0.2">
      <c r="A61" s="1">
        <v>0.83333333333333304</v>
      </c>
      <c r="B61" s="13">
        <f>'[1]HR MET BASAL'!E63</f>
        <v>65.849999999999994</v>
      </c>
      <c r="C61" s="13">
        <v>0</v>
      </c>
      <c r="D61" s="13">
        <v>184</v>
      </c>
      <c r="E61" s="13">
        <v>151</v>
      </c>
      <c r="F61" s="14">
        <v>0.82</v>
      </c>
      <c r="G61" s="14">
        <v>2.7</v>
      </c>
      <c r="H61" s="13">
        <v>15</v>
      </c>
      <c r="I61" s="13">
        <v>6</v>
      </c>
      <c r="J61" s="14">
        <v>33.44</v>
      </c>
    </row>
    <row r="62" spans="1:10" x14ac:dyDescent="0.2">
      <c r="A62" s="1">
        <v>0.84722222222222199</v>
      </c>
      <c r="B62" s="13">
        <f>'[1]HR MET BASAL'!E64</f>
        <v>66.650000000000006</v>
      </c>
      <c r="C62" s="13">
        <v>0</v>
      </c>
      <c r="D62" s="13">
        <v>186</v>
      </c>
      <c r="E62" s="13">
        <v>139</v>
      </c>
      <c r="F62" s="14">
        <v>0.75</v>
      </c>
      <c r="G62" s="14">
        <v>2.8</v>
      </c>
      <c r="H62" s="13">
        <v>13</v>
      </c>
      <c r="I62" s="13">
        <v>5</v>
      </c>
      <c r="J62" s="14">
        <v>34.340000000000003</v>
      </c>
    </row>
    <row r="63" spans="1:10" x14ac:dyDescent="0.2">
      <c r="A63" s="1">
        <v>0.86111111111111105</v>
      </c>
      <c r="B63" s="13">
        <f>'[1]HR MET BASAL'!E65</f>
        <v>64.8</v>
      </c>
      <c r="C63" s="13">
        <v>0</v>
      </c>
      <c r="D63" s="13">
        <v>251</v>
      </c>
      <c r="E63" s="13">
        <v>191</v>
      </c>
      <c r="F63" s="14">
        <v>0.76</v>
      </c>
      <c r="G63" s="14">
        <v>3.7</v>
      </c>
      <c r="H63" s="13">
        <v>11</v>
      </c>
      <c r="I63" s="13">
        <v>6</v>
      </c>
      <c r="J63" s="14">
        <v>35.74</v>
      </c>
    </row>
    <row r="64" spans="1:10" x14ac:dyDescent="0.2">
      <c r="A64" s="1">
        <v>0.875</v>
      </c>
      <c r="B64" s="13">
        <f>'[1]HR MET BASAL'!E66</f>
        <v>63.2</v>
      </c>
      <c r="C64" s="13">
        <v>0</v>
      </c>
      <c r="D64" s="13">
        <v>205</v>
      </c>
      <c r="E64" s="13">
        <v>168</v>
      </c>
      <c r="F64" s="14">
        <v>0.82</v>
      </c>
      <c r="G64" s="14">
        <v>3</v>
      </c>
      <c r="H64" s="13">
        <v>11</v>
      </c>
      <c r="I64" s="13">
        <v>6</v>
      </c>
      <c r="J64" s="14">
        <v>35.49</v>
      </c>
    </row>
    <row r="65" spans="1:10" x14ac:dyDescent="0.2">
      <c r="A65" s="1">
        <v>0.88888888888888895</v>
      </c>
      <c r="B65" s="13">
        <f>'[1]HR MET BASAL'!E67</f>
        <v>62.5</v>
      </c>
      <c r="C65" s="13">
        <v>0</v>
      </c>
      <c r="D65" s="13">
        <v>230</v>
      </c>
      <c r="E65" s="13">
        <v>179</v>
      </c>
      <c r="F65" s="14">
        <v>0.78</v>
      </c>
      <c r="G65" s="14">
        <v>3.4</v>
      </c>
      <c r="H65" s="13">
        <v>14</v>
      </c>
      <c r="I65" s="13">
        <v>6</v>
      </c>
      <c r="J65" s="14">
        <v>35.36</v>
      </c>
    </row>
    <row r="66" spans="1:10" x14ac:dyDescent="0.2">
      <c r="A66" s="1">
        <v>0.90277777777777801</v>
      </c>
      <c r="B66" s="13">
        <f>'[1]HR MET BASAL'!E68</f>
        <v>62.55</v>
      </c>
      <c r="C66" s="13">
        <v>0</v>
      </c>
      <c r="D66" s="13">
        <v>211</v>
      </c>
      <c r="E66" s="13">
        <v>162</v>
      </c>
      <c r="F66" s="14">
        <v>0.77</v>
      </c>
      <c r="G66" s="14">
        <v>3.1</v>
      </c>
      <c r="H66" s="13">
        <v>10</v>
      </c>
      <c r="I66" s="13">
        <v>5</v>
      </c>
      <c r="J66" s="14">
        <v>35.049999999999997</v>
      </c>
    </row>
    <row r="67" spans="1:10" x14ac:dyDescent="0.2">
      <c r="A67" s="1">
        <v>0.91666666666666696</v>
      </c>
      <c r="B67" s="13">
        <f>'[1]HR MET BASAL'!E69</f>
        <v>64.45</v>
      </c>
      <c r="C67" s="13">
        <v>0</v>
      </c>
      <c r="D67" s="13">
        <v>267</v>
      </c>
      <c r="E67" s="13">
        <v>237</v>
      </c>
      <c r="F67" s="14">
        <v>0.89</v>
      </c>
      <c r="G67" s="14">
        <v>4</v>
      </c>
      <c r="H67" s="13">
        <v>12</v>
      </c>
      <c r="I67" s="13">
        <v>8</v>
      </c>
      <c r="J67" s="14">
        <v>35.46</v>
      </c>
    </row>
    <row r="68" spans="1:10" x14ac:dyDescent="0.2">
      <c r="A68" s="1">
        <v>0.93055555555555602</v>
      </c>
      <c r="B68" s="13">
        <f>'[1]HR MET BASAL'!E70</f>
        <v>62.35</v>
      </c>
      <c r="C68" s="13">
        <v>0</v>
      </c>
      <c r="D68" s="13">
        <v>267</v>
      </c>
      <c r="E68" s="13">
        <v>221</v>
      </c>
      <c r="F68" s="14">
        <v>0.83</v>
      </c>
      <c r="G68" s="14">
        <v>4</v>
      </c>
      <c r="H68" s="13">
        <v>13</v>
      </c>
      <c r="I68" s="13">
        <v>7</v>
      </c>
      <c r="J68" s="14">
        <v>35.049999999999997</v>
      </c>
    </row>
    <row r="69" spans="1:10" x14ac:dyDescent="0.2">
      <c r="A69" s="1">
        <v>0.94444444444444398</v>
      </c>
      <c r="B69" s="13">
        <f>'[1]HR MET BASAL'!E71</f>
        <v>63</v>
      </c>
      <c r="C69" s="13">
        <v>0</v>
      </c>
      <c r="D69" s="13">
        <v>225</v>
      </c>
      <c r="E69" s="13">
        <v>196</v>
      </c>
      <c r="F69" s="14">
        <v>0.87</v>
      </c>
      <c r="G69" s="14">
        <v>3.3</v>
      </c>
      <c r="H69" s="13">
        <v>11</v>
      </c>
      <c r="I69" s="13">
        <v>7</v>
      </c>
      <c r="J69" s="14">
        <v>35.49</v>
      </c>
    </row>
    <row r="70" spans="1:10" x14ac:dyDescent="0.2">
      <c r="A70" s="1">
        <v>0.95833333333333304</v>
      </c>
      <c r="B70" s="13">
        <f>'[1]HR MET BASAL'!E72</f>
        <v>61.3</v>
      </c>
      <c r="C70" s="13">
        <v>0</v>
      </c>
      <c r="D70" s="13">
        <v>241</v>
      </c>
      <c r="E70" s="13">
        <v>216</v>
      </c>
      <c r="F70" s="14">
        <v>0.9</v>
      </c>
      <c r="G70" s="14">
        <v>3.6</v>
      </c>
      <c r="H70" s="13">
        <v>11</v>
      </c>
      <c r="I70" s="13">
        <v>7</v>
      </c>
      <c r="J70" s="14">
        <v>35</v>
      </c>
    </row>
    <row r="71" spans="1:10" x14ac:dyDescent="0.2">
      <c r="A71" s="1">
        <v>0.97222222222222199</v>
      </c>
      <c r="B71" s="13">
        <f>'[1]HR MET BASAL'!E73</f>
        <v>61.25</v>
      </c>
      <c r="C71" s="13">
        <v>0</v>
      </c>
      <c r="D71" s="13">
        <v>205</v>
      </c>
      <c r="E71" s="13">
        <v>181</v>
      </c>
      <c r="F71" s="14">
        <v>0.88</v>
      </c>
      <c r="G71" s="14">
        <v>3</v>
      </c>
      <c r="H71" s="13">
        <v>10</v>
      </c>
      <c r="I71" s="13">
        <v>6</v>
      </c>
      <c r="J71" s="14">
        <v>35.15</v>
      </c>
    </row>
    <row r="72" spans="1:10" x14ac:dyDescent="0.2">
      <c r="A72" s="1">
        <v>0.98611111111111005</v>
      </c>
      <c r="B72" s="13">
        <f>'[1]HR MET BASAL'!E74</f>
        <v>61.3</v>
      </c>
      <c r="C72" s="13">
        <v>0</v>
      </c>
      <c r="D72" s="13">
        <v>236</v>
      </c>
      <c r="E72" s="13">
        <v>203</v>
      </c>
      <c r="F72" s="14">
        <v>0.86</v>
      </c>
      <c r="G72" s="14">
        <v>3.5</v>
      </c>
      <c r="H72" s="13">
        <v>8</v>
      </c>
      <c r="I72" s="13">
        <v>7</v>
      </c>
      <c r="J72" s="14">
        <v>35.39</v>
      </c>
    </row>
    <row r="73" spans="1:10" x14ac:dyDescent="0.2">
      <c r="A73" s="7">
        <v>24</v>
      </c>
      <c r="B73" s="13">
        <f>'[1]HR MET BASAL'!E75</f>
        <v>60.8</v>
      </c>
      <c r="C73" s="13">
        <v>0</v>
      </c>
      <c r="D73" s="13">
        <v>183</v>
      </c>
      <c r="E73" s="13">
        <v>148</v>
      </c>
      <c r="F73" s="14">
        <v>0.81</v>
      </c>
      <c r="G73" s="14">
        <v>2.7</v>
      </c>
      <c r="H73" s="13">
        <v>10</v>
      </c>
      <c r="I73" s="13">
        <v>5</v>
      </c>
      <c r="J73" s="14">
        <v>35.450000000000003</v>
      </c>
    </row>
    <row r="74" spans="1:10" x14ac:dyDescent="0.2">
      <c r="A74" s="11" t="s">
        <v>10</v>
      </c>
      <c r="B74" s="13">
        <f>'[1]HR MET BASAL'!E76</f>
        <v>61.45</v>
      </c>
      <c r="C74" s="13">
        <v>0</v>
      </c>
      <c r="D74" s="13">
        <v>230</v>
      </c>
      <c r="E74" s="13">
        <v>197</v>
      </c>
      <c r="F74" s="14">
        <v>0.86</v>
      </c>
      <c r="G74" s="14">
        <v>3.4</v>
      </c>
      <c r="H74" s="13">
        <v>9</v>
      </c>
      <c r="I74" s="13">
        <v>6</v>
      </c>
      <c r="J74" s="14">
        <v>35.590000000000003</v>
      </c>
    </row>
    <row r="75" spans="1:10" x14ac:dyDescent="0.2">
      <c r="A75" s="12">
        <v>1.0277777777777779</v>
      </c>
      <c r="B75" s="13">
        <f>'[1]HR MET BASAL'!E77</f>
        <v>61.4</v>
      </c>
      <c r="C75" s="13">
        <v>0</v>
      </c>
      <c r="D75" s="13">
        <v>158</v>
      </c>
      <c r="E75" s="13">
        <v>125</v>
      </c>
      <c r="F75" s="14">
        <v>0.79</v>
      </c>
      <c r="G75" s="14">
        <v>2.2999999999999998</v>
      </c>
      <c r="H75" s="13">
        <v>10</v>
      </c>
      <c r="I75" s="13">
        <v>4</v>
      </c>
      <c r="J75" s="14">
        <v>33.74</v>
      </c>
    </row>
    <row r="76" spans="1:10" x14ac:dyDescent="0.2">
      <c r="A76" s="12">
        <v>1.0416666666666667</v>
      </c>
      <c r="B76" s="13">
        <f>'[1]HR MET BASAL'!E78</f>
        <v>60.65</v>
      </c>
      <c r="C76" s="13">
        <v>0</v>
      </c>
      <c r="D76" s="13">
        <v>289</v>
      </c>
      <c r="E76" s="13">
        <v>209</v>
      </c>
      <c r="F76" s="14">
        <v>0.72</v>
      </c>
      <c r="G76" s="14">
        <v>4.3</v>
      </c>
      <c r="H76" s="13">
        <v>17</v>
      </c>
      <c r="I76" s="13">
        <v>8</v>
      </c>
      <c r="J76" s="14">
        <v>32.64</v>
      </c>
    </row>
    <row r="77" spans="1:10" x14ac:dyDescent="0.2">
      <c r="A77" s="12">
        <v>1.0555555555555556</v>
      </c>
      <c r="B77" s="13">
        <f>'[1]HR MET BASAL'!E79</f>
        <v>62.2</v>
      </c>
      <c r="C77" s="2">
        <v>0</v>
      </c>
      <c r="D77" s="2">
        <v>249</v>
      </c>
      <c r="E77" s="2">
        <v>187</v>
      </c>
      <c r="F77" s="2" t="s">
        <v>11</v>
      </c>
      <c r="G77" s="2" t="s">
        <v>12</v>
      </c>
      <c r="H77" s="2">
        <v>20</v>
      </c>
      <c r="I77" s="2">
        <v>7</v>
      </c>
      <c r="J77" s="2" t="s">
        <v>13</v>
      </c>
    </row>
    <row r="78" spans="1:10" x14ac:dyDescent="0.2">
      <c r="A78" s="12">
        <v>1.0694444444444444</v>
      </c>
      <c r="B78" s="13">
        <f>'[1]HR MET BASAL'!E80</f>
        <v>62.9</v>
      </c>
      <c r="C78" s="2">
        <v>0</v>
      </c>
      <c r="D78" s="2">
        <v>223</v>
      </c>
      <c r="E78" s="2">
        <v>163</v>
      </c>
      <c r="F78" s="2" t="s">
        <v>14</v>
      </c>
      <c r="G78" s="2" t="s">
        <v>15</v>
      </c>
      <c r="H78" s="2">
        <v>19</v>
      </c>
      <c r="I78" s="2">
        <v>6</v>
      </c>
      <c r="J78" s="2" t="s">
        <v>16</v>
      </c>
    </row>
    <row r="79" spans="1:10" x14ac:dyDescent="0.2">
      <c r="A79" s="12">
        <v>1.0833333333333333</v>
      </c>
      <c r="B79" s="13">
        <f>'[1]HR MET BASAL'!E81</f>
        <v>62.65</v>
      </c>
      <c r="C79" s="2">
        <v>0</v>
      </c>
      <c r="D79" s="2">
        <v>220</v>
      </c>
      <c r="E79" s="2">
        <v>163</v>
      </c>
      <c r="F79" s="2" t="s">
        <v>17</v>
      </c>
      <c r="G79" s="2" t="s">
        <v>15</v>
      </c>
      <c r="H79" s="2">
        <v>17</v>
      </c>
      <c r="I79" s="2">
        <v>6</v>
      </c>
      <c r="J79" s="2" t="s">
        <v>18</v>
      </c>
    </row>
    <row r="80" spans="1:10" x14ac:dyDescent="0.2">
      <c r="A80" s="12">
        <v>1.0972222222222201</v>
      </c>
      <c r="B80" s="13">
        <f>'[1]HR MET BASAL'!E82</f>
        <v>61.65</v>
      </c>
      <c r="C80" s="2">
        <v>0</v>
      </c>
      <c r="D80" s="2">
        <v>222</v>
      </c>
      <c r="E80" s="2">
        <v>158</v>
      </c>
      <c r="F80" s="2" t="s">
        <v>19</v>
      </c>
      <c r="G80" s="2" t="s">
        <v>15</v>
      </c>
      <c r="H80" s="2">
        <v>20</v>
      </c>
      <c r="I80" s="2">
        <v>6</v>
      </c>
      <c r="J80" s="2" t="s">
        <v>20</v>
      </c>
    </row>
    <row r="81" spans="1:10" x14ac:dyDescent="0.2">
      <c r="A81" s="12">
        <v>1.1111111111111101</v>
      </c>
      <c r="B81" s="13">
        <f>'[1]HR MET BASAL'!E83</f>
        <v>67.05</v>
      </c>
      <c r="C81" s="2">
        <v>0</v>
      </c>
      <c r="D81" s="2">
        <v>234</v>
      </c>
      <c r="E81" s="2">
        <v>173</v>
      </c>
      <c r="F81" s="2" t="s">
        <v>17</v>
      </c>
      <c r="G81" s="2" t="s">
        <v>21</v>
      </c>
      <c r="H81" s="2">
        <v>21</v>
      </c>
      <c r="I81" s="2">
        <v>7</v>
      </c>
      <c r="J81" s="2" t="s">
        <v>16</v>
      </c>
    </row>
    <row r="82" spans="1:10" x14ac:dyDescent="0.2">
      <c r="A82" s="12">
        <v>1.125</v>
      </c>
      <c r="B82" s="13">
        <f>'[1]HR MET BASAL'!E84</f>
        <v>68.900000000000006</v>
      </c>
      <c r="C82" s="2">
        <v>0</v>
      </c>
      <c r="D82" s="2">
        <v>222</v>
      </c>
      <c r="E82" s="2">
        <v>170</v>
      </c>
      <c r="F82" s="2" t="s">
        <v>22</v>
      </c>
      <c r="G82" s="2" t="s">
        <v>15</v>
      </c>
      <c r="H82" s="2">
        <v>14</v>
      </c>
      <c r="I82" s="2">
        <v>6</v>
      </c>
      <c r="J82" s="2" t="s">
        <v>23</v>
      </c>
    </row>
    <row r="83" spans="1:10" x14ac:dyDescent="0.2">
      <c r="A83" s="12">
        <v>1.1388888888888899</v>
      </c>
      <c r="B83" s="13">
        <f>'[1]HR MET BASAL'!E85</f>
        <v>63.5</v>
      </c>
      <c r="C83" s="2">
        <v>0</v>
      </c>
      <c r="D83" s="2">
        <v>247</v>
      </c>
      <c r="E83" s="2">
        <v>200</v>
      </c>
      <c r="F83" s="2" t="s">
        <v>24</v>
      </c>
      <c r="G83" s="2" t="s">
        <v>12</v>
      </c>
      <c r="H83" s="2">
        <v>16</v>
      </c>
      <c r="I83" s="2">
        <v>7</v>
      </c>
      <c r="J83" s="2" t="s">
        <v>25</v>
      </c>
    </row>
    <row r="84" spans="1:10" x14ac:dyDescent="0.2">
      <c r="A84" s="12">
        <v>1.1527777777777799</v>
      </c>
      <c r="B84" s="13">
        <f>'[1]HR MET BASAL'!E86</f>
        <v>63.2</v>
      </c>
      <c r="C84" s="2">
        <v>0</v>
      </c>
      <c r="D84" s="2">
        <v>241</v>
      </c>
      <c r="E84" s="2">
        <v>191</v>
      </c>
      <c r="F84" s="2" t="s">
        <v>26</v>
      </c>
      <c r="G84" s="2" t="s">
        <v>27</v>
      </c>
      <c r="H84" s="2">
        <v>18</v>
      </c>
      <c r="I84" s="2">
        <v>7</v>
      </c>
      <c r="J84" s="2" t="s">
        <v>28</v>
      </c>
    </row>
    <row r="85" spans="1:10" x14ac:dyDescent="0.2">
      <c r="A85" s="12">
        <v>1.1666666666666701</v>
      </c>
      <c r="B85" s="13">
        <f>'[1]HR MET BASAL'!E87</f>
        <v>62.9</v>
      </c>
      <c r="C85" s="2">
        <v>0</v>
      </c>
      <c r="D85" s="2">
        <v>230</v>
      </c>
      <c r="E85" s="2">
        <v>188</v>
      </c>
      <c r="F85" s="2" t="s">
        <v>29</v>
      </c>
      <c r="G85" s="2" t="s">
        <v>30</v>
      </c>
      <c r="H85" s="2">
        <v>16</v>
      </c>
      <c r="I85" s="2">
        <v>7</v>
      </c>
      <c r="J85" s="2" t="s">
        <v>31</v>
      </c>
    </row>
    <row r="86" spans="1:10" x14ac:dyDescent="0.2">
      <c r="A86" s="12">
        <v>1.18055555555555</v>
      </c>
      <c r="B86" s="13">
        <f>'[1]HR MET BASAL'!E88</f>
        <v>65.150000000000006</v>
      </c>
      <c r="C86" s="2">
        <v>0</v>
      </c>
      <c r="D86" s="2">
        <v>202</v>
      </c>
      <c r="E86" s="2">
        <v>166</v>
      </c>
      <c r="F86" s="2" t="s">
        <v>29</v>
      </c>
      <c r="G86" s="2" t="s">
        <v>32</v>
      </c>
      <c r="H86" s="2">
        <v>13</v>
      </c>
      <c r="I86" s="2">
        <v>6</v>
      </c>
      <c r="J86" s="2" t="s">
        <v>33</v>
      </c>
    </row>
    <row r="87" spans="1:10" x14ac:dyDescent="0.2">
      <c r="A87" s="12">
        <v>1.19444444444444</v>
      </c>
      <c r="B87" s="13">
        <f>'[1]HR MET BASAL'!E89</f>
        <v>60.85</v>
      </c>
      <c r="C87" s="2">
        <v>0</v>
      </c>
      <c r="D87" s="2">
        <v>203</v>
      </c>
      <c r="E87" s="2">
        <v>155</v>
      </c>
      <c r="F87" s="2" t="s">
        <v>34</v>
      </c>
      <c r="G87" s="2" t="s">
        <v>32</v>
      </c>
      <c r="H87" s="2">
        <v>13</v>
      </c>
      <c r="I87" s="2">
        <v>5</v>
      </c>
      <c r="J87" s="2" t="s">
        <v>35</v>
      </c>
    </row>
    <row r="88" spans="1:10" x14ac:dyDescent="0.2">
      <c r="A88" s="12">
        <v>1.2083333333333299</v>
      </c>
      <c r="B88" s="13">
        <f>'[1]HR MET BASAL'!E90</f>
        <v>60</v>
      </c>
      <c r="C88" s="2">
        <v>0</v>
      </c>
      <c r="D88" s="2">
        <v>222</v>
      </c>
      <c r="E88" s="2">
        <v>173</v>
      </c>
      <c r="F88" s="2" t="s">
        <v>36</v>
      </c>
      <c r="G88" s="2" t="s">
        <v>15</v>
      </c>
      <c r="H88" s="2">
        <v>14</v>
      </c>
      <c r="I88" s="2">
        <v>6</v>
      </c>
      <c r="J88" s="2" t="s">
        <v>37</v>
      </c>
    </row>
    <row r="89" spans="1:10" x14ac:dyDescent="0.2">
      <c r="A89" s="12">
        <v>1.2222222222222201</v>
      </c>
      <c r="B89" s="13" t="e">
        <f>'[1]HR MET BASAL'!E91</f>
        <v>#DIV/0!</v>
      </c>
      <c r="C89" s="2">
        <v>0</v>
      </c>
      <c r="D89" s="2">
        <v>236</v>
      </c>
      <c r="E89" s="2">
        <v>190</v>
      </c>
      <c r="F89" s="2" t="s">
        <v>24</v>
      </c>
      <c r="G89" s="2" t="s">
        <v>21</v>
      </c>
      <c r="H89" s="2">
        <v>12</v>
      </c>
      <c r="I89" s="2">
        <v>6</v>
      </c>
      <c r="J89" s="2" t="s">
        <v>38</v>
      </c>
    </row>
    <row r="90" spans="1:10" x14ac:dyDescent="0.2">
      <c r="A90" s="12">
        <v>1.2638888888888899</v>
      </c>
      <c r="B90" s="13" t="e">
        <f>'[1]HR MET BASAL'!E92</f>
        <v>#DIV/0!</v>
      </c>
      <c r="C90" s="2">
        <v>0</v>
      </c>
      <c r="D90" s="2">
        <v>226</v>
      </c>
      <c r="E90" s="2">
        <v>195</v>
      </c>
      <c r="F90" s="2" t="s">
        <v>39</v>
      </c>
      <c r="G90" s="2" t="s">
        <v>30</v>
      </c>
      <c r="H90" s="2">
        <v>12</v>
      </c>
      <c r="I90" s="2">
        <v>6</v>
      </c>
      <c r="J90" s="2" t="s">
        <v>40</v>
      </c>
    </row>
    <row r="91" spans="1:10" x14ac:dyDescent="0.2">
      <c r="A91" s="2"/>
      <c r="B91" s="12"/>
      <c r="C91" s="2">
        <v>0</v>
      </c>
      <c r="D91" s="2">
        <v>234</v>
      </c>
      <c r="E91" s="2">
        <v>191</v>
      </c>
      <c r="F91" s="2" t="s">
        <v>29</v>
      </c>
      <c r="G91" s="2" t="s">
        <v>21</v>
      </c>
      <c r="H91" s="2">
        <v>17</v>
      </c>
      <c r="I91" s="2">
        <v>7</v>
      </c>
      <c r="J9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MFO</vt:lpstr>
      <vt:lpstr>V02máx.</vt:lpstr>
      <vt:lpstr>M.BASAL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2021-02-02T07:18:44Z</dcterms:created>
  <dcterms:modified xsi:type="dcterms:W3CDTF">2021-02-02T07:25:50Z</dcterms:modified>
</cp:coreProperties>
</file>